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bef6b7528e48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用例分配" sheetId="1" r:id="Rc1d0168d2dac454a"/>
    <x:sheet xmlns:r="http://schemas.openxmlformats.org/officeDocument/2006/relationships" name="Agent任务" sheetId="2" r:id="Rfffeb12be90d4d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1"/>
      <x:color rgb="FF202D36"/>
      <x:name val="Arial"/>
    </x:font>
    <x:font>
      <x:b/>
      <x:sz val="16"/>
      <x:color rgb="FF243746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746"/>
      </x:patternFill>
    </x:fill>
    <x:fill>
      <x:patternFill patternType="solid">
        <x:fgColor rgb="FFEDF3F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243746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b/>
        <x:color rgb="FF9C2424"/>
      </x:font>
      <x:fill>
        <x:patternFill patternType="solid">
          <x:bgColor rgb="FFFBE5E3"/>
        </x:patternFill>
      </x:fill>
    </x:dxf>
    <x:dxf>
      <x:font>
        <x:b/>
        <x:color rgb="FF9C2424"/>
      </x:font>
      <x:fill>
        <x:patternFill patternType="solid">
          <x:bgColor rgb="FFFBE5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ba996224a843ea" /><Relationship Type="http://schemas.openxmlformats.org/officeDocument/2006/relationships/theme" Target="/xl/theme/theme1.xml" Id="Rbd769fc7374c43c7" /><Relationship Type="http://schemas.openxmlformats.org/officeDocument/2006/relationships/sharedStrings" Target="/xl/sharedStrings.xml" Id="R8d2ba809692043a0" /><Relationship Type="http://schemas.openxmlformats.org/officeDocument/2006/relationships/worksheet" Target="/xl/worksheets/sheet1.xml" Id="Rc1d0168d2dac454a" /><Relationship Type="http://schemas.openxmlformats.org/officeDocument/2006/relationships/worksheet" Target="/xl/worksheets/sheet2.xml" Id="Rfffeb12be90d4d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746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1" hidden="0" customWidth="1"/>
    <x:col min="2" max="2" width="27" hidden="0" customWidth="1"/>
    <x:col min="3" max="3" width="29" hidden="0" customWidth="1"/>
    <x:col min="4" max="4" width="59" hidden="0" customWidth="1"/>
    <x:col min="5" max="5" width="18" hidden="0" customWidth="1"/>
    <x:col min="6" max="6" width="19" hidden="0" customWidth="1"/>
    <x:col min="7" max="7" width="18" hidden="0" customWidth="1"/>
    <x:col min="8" max="8" width="12" hidden="0" customWidth="1"/>
    <x:col min="9" max="9" width="1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4" t="str">
        <x:v>L4 用例与模拟从业者分配</x:v>
      </x:c>
      <x:c r="B2" s="5"/>
      <x:c r="C2" s="5"/>
      <x:c r="D2" s="5"/>
      <x:c r="E2" s="5"/>
      <x:c r="F2" s="5"/>
      <x:c r="G2" s="5"/>
      <x:c r="H2" s="5"/>
      <x:c r="I2" s="5"/>
    </x:row>
    <x:row r="3" ht="24" customHeight="1">
      <x:c r="A3" s="2" t="str">
        <x:v>93个用例，每例由GLM、Doubao、Qwen各一个agent评价全部七种方法。</x:v>
      </x:c>
      <x:c r="B3" s="2"/>
      <x:c r="C3" s="2"/>
      <x:c r="D3" s="2"/>
      <x:c r="E3" s="2"/>
      <x:c r="F3" s="2"/>
      <x:c r="G3" s="2"/>
      <x:c r="H3" s="2"/>
      <x:c r="I3" s="2"/>
    </x:row>
    <x:row r="4" ht="24" customHeight="1">
      <x:c r="A4" s="2" t="str">
        <x:v>42个模拟agent，不代表42位真人。采用模型分层的均衡不完全分配，不是严格BIBD。</x:v>
      </x:c>
      <x:c r="B4" s="2"/>
      <x:c r="C4" s="2"/>
      <x:c r="D4" s="2"/>
      <x:c r="E4" s="2"/>
      <x:c r="F4" s="2"/>
      <x:c r="G4" s="2"/>
      <x:c r="H4" s="2"/>
      <x:c r="I4" s="2"/>
    </x:row>
    <x:row r="5" ht="24" customHeight="1">
      <x:c r="A5" s="2" t="str">
        <x:v>来源：冻结批次 unified93-v1。分配版本 L4_PANEL_4.0.0，随机种子 20261029。</x:v>
      </x:c>
      <x:c r="B5" s="2"/>
      <x:c r="C5" s="2"/>
      <x:c r="D5" s="2"/>
      <x:c r="E5" s="2"/>
      <x:c r="F5" s="2" t="str">
        <x:v>总评价单元</x:v>
      </x:c>
      <x:c r="G5" s="2" t="n">
        <x:f>SUM(H8:H100)</x:f>
        <x:v>279</x:v>
      </x:c>
      <x:c r="H5" s="2" t="str">
        <x:v>用例总数</x:v>
      </x:c>
      <x:c r="I5" s="2" t="n">
        <x:f>COUNTA(C8:C100)</x:f>
        <x:v>93</x:v>
      </x:c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30" customHeight="1">
      <x:c r="A7" s="8" t="str">
        <x:v>用例</x:v>
      </x:c>
      <x:c r="B7" s="8" t="str">
        <x:v>来源文档</x:v>
      </x:c>
      <x:c r="C7" s="8" t="str">
        <x:v>原任务 ID</x:v>
      </x:c>
      <x:c r="D7" s="8" t="str">
        <x:v>用例名称</x:v>
      </x:c>
      <x:c r="E7" s="8" t="str">
        <x:v>GLM agent</x:v>
      </x:c>
      <x:c r="F7" s="8" t="str">
        <x:v>Doubao agent</x:v>
      </x:c>
      <x:c r="G7" s="8" t="str">
        <x:v>Qwen agent</x:v>
      </x:c>
      <x:c r="H7" s="8" t="str">
        <x:v>Agent 数</x:v>
      </x:c>
      <x:c r="I7" s="8" t="str">
        <x:v>首轮小试</x:v>
      </x:c>
    </x:row>
    <x:row r="8" ht="40" customHeight="1">
      <x:c r="A8" s="9" t="str">
        <x:v>UC_1</x:v>
      </x:c>
      <x:c r="B8" s="9" t="str">
        <x:v>JTV Auctions</x:v>
      </x:c>
      <x:c r="C8" s="9" t="str">
        <x:v>JTV-01</x:v>
      </x:c>
      <x:c r="D8" s="14" t="str">
        <x:v>Place Bid on Auction Item</x:v>
      </x:c>
      <x:c r="E8" s="9" t="str">
        <x:v>GLM-12</x:v>
      </x:c>
      <x:c r="F8" s="9" t="str">
        <x:v>DOUBAO-04</x:v>
      </x:c>
      <x:c r="G8" s="9" t="str">
        <x:v>QWEN-08</x:v>
      </x:c>
      <x:c r="H8" s="12" t="n">
        <x:f>COUNTA(E8:G8)</x:f>
        <x:v>3</x:v>
      </x:c>
      <x:c r="I8" s="16" t="str">
        <x:v>否</x:v>
      </x:c>
    </x:row>
    <x:row r="9" ht="40" customHeight="1">
      <x:c r="A9" s="2" t="str">
        <x:v>UC_2</x:v>
      </x:c>
      <x:c r="B9" s="2" t="str">
        <x:v>JTV Auctions</x:v>
      </x:c>
      <x:c r="C9" s="2" t="str">
        <x:v>JTV-02</x:v>
      </x:c>
      <x:c r="D9" s="15" t="str">
        <x:v>Register Customer Account</x:v>
      </x:c>
      <x:c r="E9" s="2" t="str">
        <x:v>GLM-08</x:v>
      </x:c>
      <x:c r="F9" s="2" t="str">
        <x:v>DOUBAO-01</x:v>
      </x:c>
      <x:c r="G9" s="2" t="str">
        <x:v>QWEN-03</x:v>
      </x:c>
      <x:c r="H9" s="13" t="n">
        <x:f>COUNTA(E9:G9)</x:f>
        <x:v>3</x:v>
      </x:c>
      <x:c r="I9" s="17" t="str">
        <x:v>否</x:v>
      </x:c>
    </x:row>
    <x:row r="10" ht="40" customHeight="1">
      <x:c r="A10" s="9" t="str">
        <x:v>UC_3</x:v>
      </x:c>
      <x:c r="B10" s="9" t="str">
        <x:v>JTV Auctions</x:v>
      </x:c>
      <x:c r="C10" s="9" t="str">
        <x:v>JTV-03</x:v>
      </x:c>
      <x:c r="D10" s="14" t="str">
        <x:v>Browse and Search Products</x:v>
      </x:c>
      <x:c r="E10" s="9" t="str">
        <x:v>GLM-13</x:v>
      </x:c>
      <x:c r="F10" s="9" t="str">
        <x:v>DOUBAO-11</x:v>
      </x:c>
      <x:c r="G10" s="9" t="str">
        <x:v>QWEN-04</x:v>
      </x:c>
      <x:c r="H10" s="12" t="n">
        <x:f>COUNTA(E10:G10)</x:f>
        <x:v>3</x:v>
      </x:c>
      <x:c r="I10" s="16" t="str">
        <x:v>否</x:v>
      </x:c>
    </x:row>
    <x:row r="11" ht="40" customHeight="1">
      <x:c r="A11" s="2" t="str">
        <x:v>UC_4</x:v>
      </x:c>
      <x:c r="B11" s="2" t="str">
        <x:v>JTV Auctions</x:v>
      </x:c>
      <x:c r="C11" s="2" t="str">
        <x:v>JTV-04</x:v>
      </x:c>
      <x:c r="D11" s="15" t="str">
        <x:v>Complete Checkout and Payment</x:v>
      </x:c>
      <x:c r="E11" s="2" t="str">
        <x:v>GLM-07</x:v>
      </x:c>
      <x:c r="F11" s="2" t="str">
        <x:v>DOUBAO-09</x:v>
      </x:c>
      <x:c r="G11" s="2" t="str">
        <x:v>QWEN-06</x:v>
      </x:c>
      <x:c r="H11" s="13" t="n">
        <x:f>COUNTA(E11:G11)</x:f>
        <x:v>3</x:v>
      </x:c>
      <x:c r="I11" s="17" t="str">
        <x:v>否</x:v>
      </x:c>
    </x:row>
    <x:row r="12" ht="40" customHeight="1">
      <x:c r="A12" s="9" t="str">
        <x:v>UC_5</x:v>
      </x:c>
      <x:c r="B12" s="9" t="str">
        <x:v>JTV Auctions</x:v>
      </x:c>
      <x:c r="C12" s="9" t="str">
        <x:v>JTV-05</x:v>
      </x:c>
      <x:c r="D12" s="14" t="str">
        <x:v>Manage Account Settings</x:v>
      </x:c>
      <x:c r="E12" s="9" t="str">
        <x:v>GLM-08</x:v>
      </x:c>
      <x:c r="F12" s="9" t="str">
        <x:v>DOUBAO-06</x:v>
      </x:c>
      <x:c r="G12" s="9" t="str">
        <x:v>QWEN-02</x:v>
      </x:c>
      <x:c r="H12" s="12" t="n">
        <x:f>COUNTA(E12:G12)</x:f>
        <x:v>3</x:v>
      </x:c>
      <x:c r="I12" s="16" t="str">
        <x:v>否</x:v>
      </x:c>
    </x:row>
    <x:row r="13" ht="40" customHeight="1">
      <x:c r="A13" s="2" t="str">
        <x:v>UC_6</x:v>
      </x:c>
      <x:c r="B13" s="2" t="str">
        <x:v>JTV Auctions</x:v>
      </x:c>
      <x:c r="C13" s="2" t="str">
        <x:v>JTV-06</x:v>
      </x:c>
      <x:c r="D13" s="15" t="str">
        <x:v>Monitor Current and Past Auction Status</x:v>
      </x:c>
      <x:c r="E13" s="2" t="str">
        <x:v>GLM-09</x:v>
      </x:c>
      <x:c r="F13" s="2" t="str">
        <x:v>DOUBAO-03</x:v>
      </x:c>
      <x:c r="G13" s="2" t="str">
        <x:v>QWEN-14</x:v>
      </x:c>
      <x:c r="H13" s="13" t="n">
        <x:f>COUNTA(E13:G13)</x:f>
        <x:v>3</x:v>
      </x:c>
      <x:c r="I13" s="17" t="str">
        <x:v>否</x:v>
      </x:c>
    </x:row>
    <x:row r="14" ht="40" customHeight="1">
      <x:c r="A14" s="9" t="str">
        <x:v>UC_7</x:v>
      </x:c>
      <x:c r="B14" s="9" t="str">
        <x:v>MIL-STD-6016B 第4节</x:v>
      </x:c>
      <x:c r="C14" s="9" t="str">
        <x:v>S16-01</x:v>
      </x:c>
      <x:c r="D14" s="14" t="str">
        <x:v>Publish Air and Surface Surveillance Tracks</x:v>
      </x:c>
      <x:c r="E14" s="9" t="str">
        <x:v>GLM-12</x:v>
      </x:c>
      <x:c r="F14" s="9" t="str">
        <x:v>DOUBAO-03</x:v>
      </x:c>
      <x:c r="G14" s="9" t="str">
        <x:v>QWEN-03</x:v>
      </x:c>
      <x:c r="H14" s="12" t="n">
        <x:f>COUNTA(E14:G14)</x:f>
        <x:v>3</x:v>
      </x:c>
      <x:c r="I14" s="16" t="str">
        <x:v>是</x:v>
      </x:c>
    </x:row>
    <x:row r="15" ht="40" customHeight="1">
      <x:c r="A15" s="2" t="str">
        <x:v>UC_8</x:v>
      </x:c>
      <x:c r="B15" s="2" t="str">
        <x:v>MIL-STD-6016B 第4节</x:v>
      </x:c>
      <x:c r="C15" s="2" t="str">
        <x:v>S16-02</x:v>
      </x:c>
      <x:c r="D15" s="15" t="str">
        <x:v>Resolve Dual Designations via Track Correlation</x:v>
      </x:c>
      <x:c r="E15" s="2" t="str">
        <x:v>GLM-13</x:v>
      </x:c>
      <x:c r="F15" s="2" t="str">
        <x:v>DOUBAO-05</x:v>
      </x:c>
      <x:c r="G15" s="2" t="str">
        <x:v>QWEN-11</x:v>
      </x:c>
      <x:c r="H15" s="13" t="n">
        <x:f>COUNTA(E15:G15)</x:f>
        <x:v>3</x:v>
      </x:c>
      <x:c r="I15" s="17" t="str">
        <x:v>否</x:v>
      </x:c>
    </x:row>
    <x:row r="16" ht="40" customHeight="1">
      <x:c r="A16" s="9" t="str">
        <x:v>UC_9</x:v>
      </x:c>
      <x:c r="B16" s="9" t="str">
        <x:v>MIL-STD-6016B 第4节</x:v>
      </x:c>
      <x:c r="C16" s="9" t="str">
        <x:v>S16-03</x:v>
      </x:c>
      <x:c r="D16" s="14" t="str">
        <x:v>Manage Track Identity Classification</x:v>
      </x:c>
      <x:c r="E16" s="9" t="str">
        <x:v>GLM-11</x:v>
      </x:c>
      <x:c r="F16" s="9" t="str">
        <x:v>DOUBAO-01</x:v>
      </x:c>
      <x:c r="G16" s="9" t="str">
        <x:v>QWEN-10</x:v>
      </x:c>
      <x:c r="H16" s="12" t="n">
        <x:f>COUNTA(E16:G16)</x:f>
        <x:v>3</x:v>
      </x:c>
      <x:c r="I16" s="16" t="str">
        <x:v>否</x:v>
      </x:c>
    </x:row>
    <x:row r="17" ht="40" customHeight="1">
      <x:c r="A17" s="2" t="str">
        <x:v>UC_10</x:v>
      </x:c>
      <x:c r="B17" s="2" t="str">
        <x:v>MIL-STD-6016B 第4节</x:v>
      </x:c>
      <x:c r="C17" s="2" t="str">
        <x:v>S16-04</x:v>
      </x:c>
      <x:c r="D17" s="15" t="str">
        <x:v>Terminate and Purge Surveillance Tracks</x:v>
      </x:c>
      <x:c r="E17" s="2" t="str">
        <x:v>GLM-14</x:v>
      </x:c>
      <x:c r="F17" s="2" t="str">
        <x:v>DOUBAO-06</x:v>
      </x:c>
      <x:c r="G17" s="2" t="str">
        <x:v>QWEN-07</x:v>
      </x:c>
      <x:c r="H17" s="13" t="n">
        <x:f>COUNTA(E17:G17)</x:f>
        <x:v>3</x:v>
      </x:c>
      <x:c r="I17" s="17" t="str">
        <x:v>否</x:v>
      </x:c>
    </x:row>
    <x:row r="18" ht="40" customHeight="1">
      <x:c r="A18" s="9" t="str">
        <x:v>UC_11</x:v>
      </x:c>
      <x:c r="B18" s="9" t="str">
        <x:v>MIL-STD-6016B 第4节</x:v>
      </x:c>
      <x:c r="C18" s="9" t="str">
        <x:v>S16-05</x:v>
      </x:c>
      <x:c r="D18" s="14" t="str">
        <x:v>Transfer Reporting Responsibility</x:v>
      </x:c>
      <x:c r="E18" s="9" t="str">
        <x:v>GLM-02</x:v>
      </x:c>
      <x:c r="F18" s="9" t="str">
        <x:v>DOUBAO-09</x:v>
      </x:c>
      <x:c r="G18" s="9" t="str">
        <x:v>QWEN-09</x:v>
      </x:c>
      <x:c r="H18" s="12" t="n">
        <x:f>COUNTA(E18:G18)</x:f>
        <x:v>3</x:v>
      </x:c>
      <x:c r="I18" s="16" t="str">
        <x:v>否</x:v>
      </x:c>
    </x:row>
    <x:row r="19" ht="40" customHeight="1">
      <x:c r="A19" s="2" t="str">
        <x:v>UC_12</x:v>
      </x:c>
      <x:c r="B19" s="2" t="str">
        <x:v>MIL-STD-6016B 第4节</x:v>
      </x:c>
      <x:c r="C19" s="2" t="str">
        <x:v>S16-06</x:v>
      </x:c>
      <x:c r="D19" s="15" t="str">
        <x:v>Exchange IFF and SIF Transponder Data</x:v>
      </x:c>
      <x:c r="E19" s="2" t="str">
        <x:v>GLM-05</x:v>
      </x:c>
      <x:c r="F19" s="2" t="str">
        <x:v>DOUBAO-11</x:v>
      </x:c>
      <x:c r="G19" s="2" t="str">
        <x:v>QWEN-02</x:v>
      </x:c>
      <x:c r="H19" s="13" t="n">
        <x:f>COUNTA(E19:G19)</x:f>
        <x:v>3</x:v>
      </x:c>
      <x:c r="I19" s="17" t="str">
        <x:v>否</x:v>
      </x:c>
    </x:row>
    <x:row r="20" ht="40" customHeight="1">
      <x:c r="A20" s="9" t="str">
        <x:v>UC_13</x:v>
      </x:c>
      <x:c r="B20" s="9" t="str">
        <x:v>MIL-STD-6016B 第4节</x:v>
      </x:c>
      <x:c r="C20" s="9" t="str">
        <x:v>S16-07</x:v>
      </x:c>
      <x:c r="D20" s="14" t="str">
        <x:v>Receive Situational Awareness Data</x:v>
      </x:c>
      <x:c r="E20" s="9" t="str">
        <x:v>GLM-09</x:v>
      </x:c>
      <x:c r="F20" s="9" t="str">
        <x:v>DOUBAO-02</x:v>
      </x:c>
      <x:c r="G20" s="9" t="str">
        <x:v>QWEN-08</x:v>
      </x:c>
      <x:c r="H20" s="12" t="n">
        <x:f>COUNTA(E20:G20)</x:f>
        <x:v>3</x:v>
      </x:c>
      <x:c r="I20" s="16" t="str">
        <x:v>否</x:v>
      </x:c>
    </x:row>
    <x:row r="21" ht="40" customHeight="1">
      <x:c r="A21" s="2" t="str">
        <x:v>UC_14</x:v>
      </x:c>
      <x:c r="B21" s="2" t="str">
        <x:v>MIL-STD-6016B 第4节</x:v>
      </x:c>
      <x:c r="C21" s="2" t="str">
        <x:v>S16-08</x:v>
      </x:c>
      <x:c r="D21" s="15" t="str">
        <x:v>Initiate Emergency Point Reports</x:v>
      </x:c>
      <x:c r="E21" s="2" t="str">
        <x:v>GLM-07</x:v>
      </x:c>
      <x:c r="F21" s="2" t="str">
        <x:v>DOUBAO-04</x:v>
      </x:c>
      <x:c r="G21" s="2" t="str">
        <x:v>QWEN-12</x:v>
      </x:c>
      <x:c r="H21" s="13" t="n">
        <x:f>COUNTA(E21:G21)</x:f>
        <x:v>3</x:v>
      </x:c>
      <x:c r="I21" s="17" t="str">
        <x:v>否</x:v>
      </x:c>
    </x:row>
    <x:row r="22" ht="40" customHeight="1">
      <x:c r="A22" s="9" t="str">
        <x:v>UC_15</x:v>
      </x:c>
      <x:c r="B22" s="9" t="str">
        <x:v>Qheadache</x:v>
      </x:c>
      <x:c r="C22" s="9" t="str">
        <x:v>UC-0b113737d3ff758c</x:v>
      </x:c>
      <x:c r="D22" s="14" t="str">
        <x:v>Open a Saved Game</x:v>
      </x:c>
      <x:c r="E22" s="9" t="str">
        <x:v>GLM-01</x:v>
      </x:c>
      <x:c r="F22" s="9" t="str">
        <x:v>DOUBAO-08</x:v>
      </x:c>
      <x:c r="G22" s="9" t="str">
        <x:v>QWEN-09</x:v>
      </x:c>
      <x:c r="H22" s="12" t="n">
        <x:f>COUNTA(E22:G22)</x:f>
        <x:v>3</x:v>
      </x:c>
      <x:c r="I22" s="16" t="str">
        <x:v>是</x:v>
      </x:c>
    </x:row>
    <x:row r="23" ht="40" customHeight="1">
      <x:c r="A23" s="2" t="str">
        <x:v>UC_16</x:v>
      </x:c>
      <x:c r="B23" s="2" t="str">
        <x:v>Qheadache</x:v>
      </x:c>
      <x:c r="C23" s="2" t="str">
        <x:v>UC-243f662de0626f07</x:v>
      </x:c>
      <x:c r="D23" s="15" t="str">
        <x:v>Save the Current Game</x:v>
      </x:c>
      <x:c r="E23" s="2" t="str">
        <x:v>GLM-05</x:v>
      </x:c>
      <x:c r="F23" s="2" t="str">
        <x:v>DOUBAO-02</x:v>
      </x:c>
      <x:c r="G23" s="2" t="str">
        <x:v>QWEN-07</x:v>
      </x:c>
      <x:c r="H23" s="13" t="n">
        <x:f>COUNTA(E23:G23)</x:f>
        <x:v>3</x:v>
      </x:c>
      <x:c r="I23" s="17" t="str">
        <x:v>否</x:v>
      </x:c>
    </x:row>
    <x:row r="24" ht="40" customHeight="1">
      <x:c r="A24" s="9" t="str">
        <x:v>UC_17</x:v>
      </x:c>
      <x:c r="B24" s="9" t="str">
        <x:v>Qheadache</x:v>
      </x:c>
      <x:c r="C24" s="9" t="str">
        <x:v>UC-0b3c9df6a8bfa59d</x:v>
      </x:c>
      <x:c r="D24" s="14" t="str">
        <x:v>Undo the Last Block Movement</x:v>
      </x:c>
      <x:c r="E24" s="9" t="str">
        <x:v>GLM-09</x:v>
      </x:c>
      <x:c r="F24" s="9" t="str">
        <x:v>DOUBAO-03</x:v>
      </x:c>
      <x:c r="G24" s="9" t="str">
        <x:v>QWEN-01</x:v>
      </x:c>
      <x:c r="H24" s="12" t="n">
        <x:f>COUNTA(E24:G24)</x:f>
        <x:v>3</x:v>
      </x:c>
      <x:c r="I24" s="16" t="str">
        <x:v>否</x:v>
      </x:c>
    </x:row>
    <x:row r="25" ht="40" customHeight="1">
      <x:c r="A25" s="2" t="str">
        <x:v>UC_18</x:v>
      </x:c>
      <x:c r="B25" s="2" t="str">
        <x:v>Qheadache</x:v>
      </x:c>
      <x:c r="C25" s="2" t="str">
        <x:v>UC-20f211b787631cb3</x:v>
      </x:c>
      <x:c r="D25" s="15" t="str">
        <x:v>Complete a Puzzle</x:v>
      </x:c>
      <x:c r="E25" s="2" t="str">
        <x:v>GLM-08</x:v>
      </x:c>
      <x:c r="F25" s="2" t="str">
        <x:v>DOUBAO-01</x:v>
      </x:c>
      <x:c r="G25" s="2" t="str">
        <x:v>QWEN-03</x:v>
      </x:c>
      <x:c r="H25" s="13" t="n">
        <x:f>COUNTA(E25:G25)</x:f>
        <x:v>3</x:v>
      </x:c>
      <x:c r="I25" s="17" t="str">
        <x:v>否</x:v>
      </x:c>
    </x:row>
    <x:row r="26" ht="40" customHeight="1">
      <x:c r="A26" s="9" t="str">
        <x:v>UC_19</x:v>
      </x:c>
      <x:c r="B26" s="9" t="str">
        <x:v>Microcare</x:v>
      </x:c>
      <x:c r="C26" s="9" t="str">
        <x:v>UC-2cb5d0624cdb3935</x:v>
      </x:c>
      <x:c r="D26" s="14" t="str">
        <x:v>Record Voucher Distribution</x:v>
      </x:c>
      <x:c r="E26" s="9" t="str">
        <x:v>GLM-14</x:v>
      </x:c>
      <x:c r="F26" s="9" t="str">
        <x:v>DOUBAO-04</x:v>
      </x:c>
      <x:c r="G26" s="9" t="str">
        <x:v>QWEN-12</x:v>
      </x:c>
      <x:c r="H26" s="12" t="n">
        <x:f>COUNTA(E26:G26)</x:f>
        <x:v>3</x:v>
      </x:c>
      <x:c r="I26" s="16" t="str">
        <x:v>是</x:v>
      </x:c>
    </x:row>
    <x:row r="27" ht="40" customHeight="1">
      <x:c r="A27" s="2" t="str">
        <x:v>UC_20</x:v>
      </x:c>
      <x:c r="B27" s="2" t="str">
        <x:v>Microcare</x:v>
      </x:c>
      <x:c r="C27" s="2" t="str">
        <x:v>UC-c40f364edd2c3d89</x:v>
      </x:c>
      <x:c r="D27" s="15" t="str">
        <x:v>Register a Claim Submission</x:v>
      </x:c>
      <x:c r="E27" s="2" t="str">
        <x:v>GLM-13</x:v>
      </x:c>
      <x:c r="F27" s="2" t="str">
        <x:v>DOUBAO-13</x:v>
      </x:c>
      <x:c r="G27" s="2" t="str">
        <x:v>QWEN-06</x:v>
      </x:c>
      <x:c r="H27" s="13" t="n">
        <x:f>COUNTA(E27:G27)</x:f>
        <x:v>3</x:v>
      </x:c>
      <x:c r="I27" s="17" t="str">
        <x:v>否</x:v>
      </x:c>
    </x:row>
    <x:row r="28" ht="40" customHeight="1">
      <x:c r="A28" s="9" t="str">
        <x:v>UC_21</x:v>
      </x:c>
      <x:c r="B28" s="9" t="str">
        <x:v>Microcare</x:v>
      </x:c>
      <x:c r="C28" s="9" t="str">
        <x:v>UC-c0e26d379fe00f5a</x:v>
      </x:c>
      <x:c r="D28" s="14" t="str">
        <x:v>Enter and Validate a Treatment Claim</x:v>
      </x:c>
      <x:c r="E28" s="9" t="str">
        <x:v>GLM-07</x:v>
      </x:c>
      <x:c r="F28" s="9" t="str">
        <x:v>DOUBAO-14</x:v>
      </x:c>
      <x:c r="G28" s="9" t="str">
        <x:v>QWEN-05</x:v>
      </x:c>
      <x:c r="H28" s="12" t="n">
        <x:f>COUNTA(E28:G28)</x:f>
        <x:v>3</x:v>
      </x:c>
      <x:c r="I28" s="16" t="str">
        <x:v>否</x:v>
      </x:c>
    </x:row>
    <x:row r="29" ht="40" customHeight="1">
      <x:c r="A29" s="2" t="str">
        <x:v>UC_22</x:v>
      </x:c>
      <x:c r="B29" s="2" t="str">
        <x:v>Microcare</x:v>
      </x:c>
      <x:c r="C29" s="2" t="str">
        <x:v>UC-8b152029c7f5f1f4</x:v>
      </x:c>
      <x:c r="D29" s="15" t="str">
        <x:v>Record a Voucher Sales Return</x:v>
      </x:c>
      <x:c r="E29" s="2" t="str">
        <x:v>GLM-04</x:v>
      </x:c>
      <x:c r="F29" s="2" t="str">
        <x:v>DOUBAO-07</x:v>
      </x:c>
      <x:c r="G29" s="2" t="str">
        <x:v>QWEN-10</x:v>
      </x:c>
      <x:c r="H29" s="13" t="n">
        <x:f>COUNTA(E29:G29)</x:f>
        <x:v>3</x:v>
      </x:c>
      <x:c r="I29" s="17" t="str">
        <x:v>否</x:v>
      </x:c>
    </x:row>
    <x:row r="30" ht="40" customHeight="1">
      <x:c r="A30" s="9" t="str">
        <x:v>UC_23</x:v>
      </x:c>
      <x:c r="B30" s="9" t="str">
        <x:v>Microcare</x:v>
      </x:c>
      <x:c r="C30" s="9" t="str">
        <x:v>UC-d986372bbf63d9ab</x:v>
      </x:c>
      <x:c r="D30" s="14" t="str">
        <x:v>Record Client Feedback</x:v>
      </x:c>
      <x:c r="E30" s="9" t="str">
        <x:v>GLM-01</x:v>
      </x:c>
      <x:c r="F30" s="9" t="str">
        <x:v>DOUBAO-05</x:v>
      </x:c>
      <x:c r="G30" s="9" t="str">
        <x:v>QWEN-14</x:v>
      </x:c>
      <x:c r="H30" s="12" t="n">
        <x:f>COUNTA(E30:G30)</x:f>
        <x:v>3</x:v>
      </x:c>
      <x:c r="I30" s="16" t="str">
        <x:v>否</x:v>
      </x:c>
    </x:row>
    <x:row r="31" ht="40" customHeight="1">
      <x:c r="A31" s="2" t="str">
        <x:v>UC_24</x:v>
      </x:c>
      <x:c r="B31" s="2" t="str">
        <x:v>RLCS</x:v>
      </x:c>
      <x:c r="C31" s="2" t="str">
        <x:v>UC-a751f4143e0e101d</x:v>
      </x:c>
      <x:c r="D31" s="15" t="str">
        <x:v>Acquire System Command Control</x:v>
      </x:c>
      <x:c r="E31" s="2" t="str">
        <x:v>GLM-07</x:v>
      </x:c>
      <x:c r="F31" s="2" t="str">
        <x:v>DOUBAO-03</x:v>
      </x:c>
      <x:c r="G31" s="2" t="str">
        <x:v>QWEN-04</x:v>
      </x:c>
      <x:c r="H31" s="13" t="n">
        <x:f>COUNTA(E31:G31)</x:f>
        <x:v>3</x:v>
      </x:c>
      <x:c r="I31" s="17" t="str">
        <x:v>否</x:v>
      </x:c>
    </x:row>
    <x:row r="32" ht="40" customHeight="1">
      <x:c r="A32" s="9" t="str">
        <x:v>UC_25</x:v>
      </x:c>
      <x:c r="B32" s="9" t="str">
        <x:v>RLCS</x:v>
      </x:c>
      <x:c r="C32" s="9" t="str">
        <x:v>UC-101b7b9803530ada</x:v>
      </x:c>
      <x:c r="D32" s="14" t="str">
        <x:v>Open a Reversible-Lane Entrance</x:v>
      </x:c>
      <x:c r="E32" s="9" t="str">
        <x:v>GLM-04</x:v>
      </x:c>
      <x:c r="F32" s="9" t="str">
        <x:v>DOUBAO-10</x:v>
      </x:c>
      <x:c r="G32" s="9" t="str">
        <x:v>QWEN-10</x:v>
      </x:c>
      <x:c r="H32" s="12" t="n">
        <x:f>COUNTA(E32:G32)</x:f>
        <x:v>3</x:v>
      </x:c>
      <x:c r="I32" s="16" t="str">
        <x:v>否</x:v>
      </x:c>
    </x:row>
    <x:row r="33" ht="40" customHeight="1">
      <x:c r="A33" s="2" t="str">
        <x:v>UC_26</x:v>
      </x:c>
      <x:c r="B33" s="2" t="str">
        <x:v>RLCS</x:v>
      </x:c>
      <x:c r="C33" s="2" t="str">
        <x:v>UC-b0989afaa1f40cdb</x:v>
      </x:c>
      <x:c r="D33" s="15" t="str">
        <x:v>Acknowledge a Device Alarm</x:v>
      </x:c>
      <x:c r="E33" s="2" t="str">
        <x:v>GLM-05</x:v>
      </x:c>
      <x:c r="F33" s="2" t="str">
        <x:v>DOUBAO-13</x:v>
      </x:c>
      <x:c r="G33" s="2" t="str">
        <x:v>QWEN-01</x:v>
      </x:c>
      <x:c r="H33" s="13" t="n">
        <x:f>COUNTA(E33:G33)</x:f>
        <x:v>3</x:v>
      </x:c>
      <x:c r="I33" s="17" t="str">
        <x:v>否</x:v>
      </x:c>
    </x:row>
    <x:row r="34" ht="40" customHeight="1">
      <x:c r="A34" s="9" t="str">
        <x:v>UC_27</x:v>
      </x:c>
      <x:c r="B34" s="9" t="str">
        <x:v>RLCS</x:v>
      </x:c>
      <x:c r="C34" s="9" t="str">
        <x:v>UC-1646fc0e8df691fb</x:v>
      </x:c>
      <x:c r="D34" s="14" t="str">
        <x:v>Configure Staff Access Permissions</x:v>
      </x:c>
      <x:c r="E34" s="9" t="str">
        <x:v>GLM-03</x:v>
      </x:c>
      <x:c r="F34" s="9" t="str">
        <x:v>DOUBAO-09</x:v>
      </x:c>
      <x:c r="G34" s="9" t="str">
        <x:v>QWEN-06</x:v>
      </x:c>
      <x:c r="H34" s="12" t="n">
        <x:f>COUNTA(E34:G34)</x:f>
        <x:v>3</x:v>
      </x:c>
      <x:c r="I34" s="16" t="str">
        <x:v>否</x:v>
      </x:c>
    </x:row>
    <x:row r="35" ht="40" customHeight="1">
      <x:c r="A35" s="2" t="str">
        <x:v>UC_28</x:v>
      </x:c>
      <x:c r="B35" s="2" t="str">
        <x:v>RLCS</x:v>
      </x:c>
      <x:c r="C35" s="2" t="str">
        <x:v>UC-7843a66cc126f0a0</x:v>
      </x:c>
      <x:c r="D35" s="15" t="str">
        <x:v>Generate a Failure Summary Report</x:v>
      </x:c>
      <x:c r="E35" s="2" t="str">
        <x:v>GLM-14</x:v>
      </x:c>
      <x:c r="F35" s="2" t="str">
        <x:v>DOUBAO-05</x:v>
      </x:c>
      <x:c r="G35" s="2" t="str">
        <x:v>QWEN-05</x:v>
      </x:c>
      <x:c r="H35" s="13" t="n">
        <x:f>COUNTA(E35:G35)</x:f>
        <x:v>3</x:v>
      </x:c>
      <x:c r="I35" s="17" t="str">
        <x:v>否</x:v>
      </x:c>
    </x:row>
    <x:row r="36" ht="40" customHeight="1">
      <x:c r="A36" s="9" t="str">
        <x:v>UC_29</x:v>
      </x:c>
      <x:c r="B36" s="9" t="str">
        <x:v>PeaZip</x:v>
      </x:c>
      <x:c r="C36" s="9" t="str">
        <x:v>UC-fb12681b7e9f5a34</x:v>
      </x:c>
      <x:c r="D36" s="14" t="str">
        <x:v>Create a Compressed Archive</x:v>
      </x:c>
      <x:c r="E36" s="9" t="str">
        <x:v>GLM-06</x:v>
      </x:c>
      <x:c r="F36" s="9" t="str">
        <x:v>DOUBAO-07</x:v>
      </x:c>
      <x:c r="G36" s="9" t="str">
        <x:v>QWEN-08</x:v>
      </x:c>
      <x:c r="H36" s="12" t="n">
        <x:f>COUNTA(E36:G36)</x:f>
        <x:v>3</x:v>
      </x:c>
      <x:c r="I36" s="16" t="str">
        <x:v>否</x:v>
      </x:c>
    </x:row>
    <x:row r="37" ht="40" customHeight="1">
      <x:c r="A37" s="2" t="str">
        <x:v>UC_30</x:v>
      </x:c>
      <x:c r="B37" s="2" t="str">
        <x:v>PeaZip</x:v>
      </x:c>
      <x:c r="C37" s="2" t="str">
        <x:v>UC-9bd694a3162f3147</x:v>
      </x:c>
      <x:c r="D37" s="15" t="str">
        <x:v>Add Files to an Existing Archive</x:v>
      </x:c>
      <x:c r="E37" s="2" t="str">
        <x:v>GLM-10</x:v>
      </x:c>
      <x:c r="F37" s="2" t="str">
        <x:v>DOUBAO-05</x:v>
      </x:c>
      <x:c r="G37" s="2" t="str">
        <x:v>QWEN-12</x:v>
      </x:c>
      <x:c r="H37" s="13" t="n">
        <x:f>COUNTA(E37:G37)</x:f>
        <x:v>3</x:v>
      </x:c>
      <x:c r="I37" s="17" t="str">
        <x:v>否</x:v>
      </x:c>
    </x:row>
    <x:row r="38" ht="40" customHeight="1">
      <x:c r="A38" s="9" t="str">
        <x:v>UC_31</x:v>
      </x:c>
      <x:c r="B38" s="9" t="str">
        <x:v>PeaZip</x:v>
      </x:c>
      <x:c r="C38" s="9" t="str">
        <x:v>UC-47eb5a5e72f296eb</x:v>
      </x:c>
      <x:c r="D38" s="14" t="str">
        <x:v>Extract an Archive</x:v>
      </x:c>
      <x:c r="E38" s="9" t="str">
        <x:v>GLM-13</x:v>
      </x:c>
      <x:c r="F38" s="9" t="str">
        <x:v>DOUBAO-01</x:v>
      </x:c>
      <x:c r="G38" s="9" t="str">
        <x:v>QWEN-10</x:v>
      </x:c>
      <x:c r="H38" s="12" t="n">
        <x:f>COUNTA(E38:G38)</x:f>
        <x:v>3</x:v>
      </x:c>
      <x:c r="I38" s="16" t="str">
        <x:v>否</x:v>
      </x:c>
    </x:row>
    <x:row r="39" ht="40" customHeight="1">
      <x:c r="A39" s="2" t="str">
        <x:v>UC_32</x:v>
      </x:c>
      <x:c r="B39" s="2" t="str">
        <x:v>PeaZip</x:v>
      </x:c>
      <x:c r="C39" s="2" t="str">
        <x:v>UC-aa8473435416bb2b</x:v>
      </x:c>
      <x:c r="D39" s="15" t="str">
        <x:v>Generate a Password and Keyfile</x:v>
      </x:c>
      <x:c r="E39" s="2" t="str">
        <x:v>GLM-09</x:v>
      </x:c>
      <x:c r="F39" s="2" t="str">
        <x:v>DOUBAO-09</x:v>
      </x:c>
      <x:c r="G39" s="2" t="str">
        <x:v>QWEN-03</x:v>
      </x:c>
      <x:c r="H39" s="13" t="n">
        <x:f>COUNTA(E39:G39)</x:f>
        <x:v>3</x:v>
      </x:c>
      <x:c r="I39" s="17" t="str">
        <x:v>否</x:v>
      </x:c>
    </x:row>
    <x:row r="40" ht="40" customHeight="1">
      <x:c r="A40" s="9" t="str">
        <x:v>UC_33</x:v>
      </x:c>
      <x:c r="B40" s="9" t="str">
        <x:v>JTV Auctions</x:v>
      </x:c>
      <x:c r="C40" s="9" t="str">
        <x:v>UC-9061895d3523d931</x:v>
      </x:c>
      <x:c r="D40" s="14" t="str">
        <x:v>Analyze Auction Business Performance</x:v>
      </x:c>
      <x:c r="E40" s="9" t="str">
        <x:v>GLM-05</x:v>
      </x:c>
      <x:c r="F40" s="9" t="str">
        <x:v>DOUBAO-14</x:v>
      </x:c>
      <x:c r="G40" s="9" t="str">
        <x:v>QWEN-07</x:v>
      </x:c>
      <x:c r="H40" s="12" t="n">
        <x:f>COUNTA(E40:G40)</x:f>
        <x:v>3</x:v>
      </x:c>
      <x:c r="I40" s="16" t="str">
        <x:v>否</x:v>
      </x:c>
    </x:row>
    <x:row r="41" ht="40" customHeight="1">
      <x:c r="A41" s="2" t="str">
        <x:v>UC_34</x:v>
      </x:c>
      <x:c r="B41" s="2" t="str">
        <x:v>JTV Auctions</x:v>
      </x:c>
      <x:c r="C41" s="2" t="str">
        <x:v>UC-e5a498730abdcee8</x:v>
      </x:c>
      <x:c r="D41" s="15" t="str">
        <x:v>Analyze Customer Purchasing Activity</x:v>
      </x:c>
      <x:c r="E41" s="2" t="str">
        <x:v>GLM-05</x:v>
      </x:c>
      <x:c r="F41" s="2" t="str">
        <x:v>DOUBAO-10</x:v>
      </x:c>
      <x:c r="G41" s="2" t="str">
        <x:v>QWEN-10</x:v>
      </x:c>
      <x:c r="H41" s="13" t="n">
        <x:f>COUNTA(E41:G41)</x:f>
        <x:v>3</x:v>
      </x:c>
      <x:c r="I41" s="17" t="str">
        <x:v>否</x:v>
      </x:c>
    </x:row>
    <x:row r="42" ht="40" customHeight="1">
      <x:c r="A42" s="9" t="str">
        <x:v>UC_35</x:v>
      </x:c>
      <x:c r="B42" s="9" t="str">
        <x:v>JTV Auctions</x:v>
      </x:c>
      <x:c r="C42" s="9" t="str">
        <x:v>UC-27b9f6ad9a4ecdf4</x:v>
      </x:c>
      <x:c r="D42" s="14" t="str">
        <x:v>Analyze Inventory Availability and Aging</x:v>
      </x:c>
      <x:c r="E42" s="9" t="str">
        <x:v>GLM-03</x:v>
      </x:c>
      <x:c r="F42" s="9" t="str">
        <x:v>DOUBAO-04</x:v>
      </x:c>
      <x:c r="G42" s="9" t="str">
        <x:v>QWEN-06</x:v>
      </x:c>
      <x:c r="H42" s="12" t="n">
        <x:f>COUNTA(E42:G42)</x:f>
        <x:v>3</x:v>
      </x:c>
      <x:c r="I42" s="16" t="str">
        <x:v>否</x:v>
      </x:c>
    </x:row>
    <x:row r="43" ht="40" customHeight="1">
      <x:c r="A43" s="2" t="str">
        <x:v>UC_36</x:v>
      </x:c>
      <x:c r="B43" s="2" t="str">
        <x:v>JTV Auctions</x:v>
      </x:c>
      <x:c r="C43" s="2" t="str">
        <x:v>UC-c36fef189e184056</x:v>
      </x:c>
      <x:c r="D43" s="15" t="str">
        <x:v>Configure Global Auction Rules</x:v>
      </x:c>
      <x:c r="E43" s="2" t="str">
        <x:v>GLM-02</x:v>
      </x:c>
      <x:c r="F43" s="2" t="str">
        <x:v>DOUBAO-07</x:v>
      </x:c>
      <x:c r="G43" s="2" t="str">
        <x:v>QWEN-08</x:v>
      </x:c>
      <x:c r="H43" s="13" t="n">
        <x:f>COUNTA(E43:G43)</x:f>
        <x:v>3</x:v>
      </x:c>
      <x:c r="I43" s="17" t="str">
        <x:v>否</x:v>
      </x:c>
    </x:row>
    <x:row r="44" ht="40" customHeight="1">
      <x:c r="A44" s="9" t="str">
        <x:v>UC_37</x:v>
      </x:c>
      <x:c r="B44" s="9" t="str">
        <x:v>JTV Auctions</x:v>
      </x:c>
      <x:c r="C44" s="9" t="str">
        <x:v>UC-50e3a23f95e15ec4</x:v>
      </x:c>
      <x:c r="D44" s="14" t="str">
        <x:v>Edit or Remove Existing Auctions</x:v>
      </x:c>
      <x:c r="E44" s="9" t="str">
        <x:v>GLM-14</x:v>
      </x:c>
      <x:c r="F44" s="9" t="str">
        <x:v>DOUBAO-02</x:v>
      </x:c>
      <x:c r="G44" s="9" t="str">
        <x:v>QWEN-03</x:v>
      </x:c>
      <x:c r="H44" s="12" t="n">
        <x:f>COUNTA(E44:G44)</x:f>
        <x:v>3</x:v>
      </x:c>
      <x:c r="I44" s="16" t="str">
        <x:v>否</x:v>
      </x:c>
    </x:row>
    <x:row r="45" ht="40" customHeight="1">
      <x:c r="A45" s="2" t="str">
        <x:v>UC_38</x:v>
      </x:c>
      <x:c r="B45" s="2" t="str">
        <x:v>JTV Auctions</x:v>
      </x:c>
      <x:c r="C45" s="2" t="str">
        <x:v>UC-0db007c82b9353dc</x:v>
      </x:c>
      <x:c r="D45" s="15" t="str">
        <x:v>Investigate Customer Auction Inquiries</x:v>
      </x:c>
      <x:c r="E45" s="2" t="str">
        <x:v>GLM-10</x:v>
      </x:c>
      <x:c r="F45" s="2" t="str">
        <x:v>DOUBAO-05</x:v>
      </x:c>
      <x:c r="G45" s="2" t="str">
        <x:v>QWEN-01</x:v>
      </x:c>
      <x:c r="H45" s="13" t="n">
        <x:f>COUNTA(E45:G45)</x:f>
        <x:v>3</x:v>
      </x:c>
      <x:c r="I45" s="17" t="str">
        <x:v>否</x:v>
      </x:c>
    </x:row>
    <x:row r="46" ht="40" customHeight="1">
      <x:c r="A46" s="9" t="str">
        <x:v>UC_39</x:v>
      </x:c>
      <x:c r="B46" s="9" t="str">
        <x:v>JTV Auctions</x:v>
      </x:c>
      <x:c r="C46" s="9" t="str">
        <x:v>UC-0a9b830db1bf17fd</x:v>
      </x:c>
      <x:c r="D46" s="14" t="str">
        <x:v>Maintain Auction Event Profiles</x:v>
      </x:c>
      <x:c r="E46" s="9" t="str">
        <x:v>GLM-06</x:v>
      </x:c>
      <x:c r="F46" s="9" t="str">
        <x:v>DOUBAO-02</x:v>
      </x:c>
      <x:c r="G46" s="9" t="str">
        <x:v>QWEN-01</x:v>
      </x:c>
      <x:c r="H46" s="12" t="n">
        <x:f>COUNTA(E46:G46)</x:f>
        <x:v>3</x:v>
      </x:c>
      <x:c r="I46" s="16" t="str">
        <x:v>否</x:v>
      </x:c>
    </x:row>
    <x:row r="47" ht="40" customHeight="1">
      <x:c r="A47" s="2" t="str">
        <x:v>UC_40</x:v>
      </x:c>
      <x:c r="B47" s="2" t="str">
        <x:v>JTV Auctions</x:v>
      </x:c>
      <x:c r="C47" s="2" t="str">
        <x:v>UC-77f9f9d12382413b</x:v>
      </x:c>
      <x:c r="D47" s="15" t="str">
        <x:v>Manage Auction Administration User Access</x:v>
      </x:c>
      <x:c r="E47" s="2" t="str">
        <x:v>GLM-01</x:v>
      </x:c>
      <x:c r="F47" s="2" t="str">
        <x:v>DOUBAO-14</x:v>
      </x:c>
      <x:c r="G47" s="2" t="str">
        <x:v>QWEN-11</x:v>
      </x:c>
      <x:c r="H47" s="13" t="n">
        <x:f>COUNTA(E47:G47)</x:f>
        <x:v>3</x:v>
      </x:c>
      <x:c r="I47" s="17" t="str">
        <x:v>否</x:v>
      </x:c>
    </x:row>
    <x:row r="48" ht="40" customHeight="1">
      <x:c r="A48" s="9" t="str">
        <x:v>UC_41</x:v>
      </x:c>
      <x:c r="B48" s="9" t="str">
        <x:v>JTV Auctions</x:v>
      </x:c>
      <x:c r="C48" s="9" t="str">
        <x:v>UC-edfa7d4431250d85</x:v>
      </x:c>
      <x:c r="D48" s="14" t="str">
        <x:v>Recover Forgotten Account Access</x:v>
      </x:c>
      <x:c r="E48" s="9" t="str">
        <x:v>GLM-14</x:v>
      </x:c>
      <x:c r="F48" s="9" t="str">
        <x:v>DOUBAO-10</x:v>
      </x:c>
      <x:c r="G48" s="9" t="str">
        <x:v>QWEN-10</x:v>
      </x:c>
      <x:c r="H48" s="12" t="n">
        <x:f>COUNTA(E48:G48)</x:f>
        <x:v>3</x:v>
      </x:c>
      <x:c r="I48" s="16" t="str">
        <x:v>否</x:v>
      </x:c>
    </x:row>
    <x:row r="49" ht="40" customHeight="1">
      <x:c r="A49" s="2" t="str">
        <x:v>UC_42</x:v>
      </x:c>
      <x:c r="B49" s="2" t="str">
        <x:v>JTV Auctions</x:v>
      </x:c>
      <x:c r="C49" s="2" t="str">
        <x:v>UC-8a43321a20b0cf29</x:v>
      </x:c>
      <x:c r="D49" s="15" t="str">
        <x:v>Respond to a Second-Chance Purchase Offer</x:v>
      </x:c>
      <x:c r="E49" s="2" t="str">
        <x:v>GLM-10</x:v>
      </x:c>
      <x:c r="F49" s="2" t="str">
        <x:v>DOUBAO-12</x:v>
      </x:c>
      <x:c r="G49" s="2" t="str">
        <x:v>QWEN-04</x:v>
      </x:c>
      <x:c r="H49" s="13" t="n">
        <x:f>COUNTA(E49:G49)</x:f>
        <x:v>3</x:v>
      </x:c>
      <x:c r="I49" s="17" t="str">
        <x:v>否</x:v>
      </x:c>
    </x:row>
    <x:row r="50" ht="40" customHeight="1">
      <x:c r="A50" s="9" t="str">
        <x:v>UC_43</x:v>
      </x:c>
      <x:c r="B50" s="9" t="str">
        <x:v>JTV Auctions</x:v>
      </x:c>
      <x:c r="C50" s="9" t="str">
        <x:v>UC-d6419877cc32c1e1</x:v>
      </x:c>
      <x:c r="D50" s="14" t="str">
        <x:v>Restore Bidding Privileges After Nonpayment</x:v>
      </x:c>
      <x:c r="E50" s="9" t="str">
        <x:v>GLM-04</x:v>
      </x:c>
      <x:c r="F50" s="9" t="str">
        <x:v>DOUBAO-13</x:v>
      </x:c>
      <x:c r="G50" s="9" t="str">
        <x:v>QWEN-13</x:v>
      </x:c>
      <x:c r="H50" s="12" t="n">
        <x:f>COUNTA(E50:G50)</x:f>
        <x:v>3</x:v>
      </x:c>
      <x:c r="I50" s="16" t="str">
        <x:v>否</x:v>
      </x:c>
    </x:row>
    <x:row r="51" ht="40" customHeight="1">
      <x:c r="A51" s="2" t="str">
        <x:v>UC_44</x:v>
      </x:c>
      <x:c r="B51" s="2" t="str">
        <x:v>JTV Auctions</x:v>
      </x:c>
      <x:c r="C51" s="2" t="str">
        <x:v>UC-e23930218cfb0032</x:v>
      </x:c>
      <x:c r="D51" s="15" t="str">
        <x:v>Review SKU Auction Performance</x:v>
      </x:c>
      <x:c r="E51" s="2" t="str">
        <x:v>GLM-01</x:v>
      </x:c>
      <x:c r="F51" s="2" t="str">
        <x:v>DOUBAO-08</x:v>
      </x:c>
      <x:c r="G51" s="2" t="str">
        <x:v>QWEN-09</x:v>
      </x:c>
      <x:c r="H51" s="13" t="n">
        <x:f>COUNTA(E51:G51)</x:f>
        <x:v>3</x:v>
      </x:c>
      <x:c r="I51" s="17" t="str">
        <x:v>否</x:v>
      </x:c>
    </x:row>
    <x:row r="52" ht="40" customHeight="1">
      <x:c r="A52" s="9" t="str">
        <x:v>UC_45</x:v>
      </x:c>
      <x:c r="B52" s="9" t="str">
        <x:v>JTV Auctions</x:v>
      </x:c>
      <x:c r="C52" s="9" t="str">
        <x:v>UC-b9a57628a917d78f</x:v>
      </x:c>
      <x:c r="D52" s="14" t="str">
        <x:v>Schedule New Auction Events</x:v>
      </x:c>
      <x:c r="E52" s="9" t="str">
        <x:v>GLM-13</x:v>
      </x:c>
      <x:c r="F52" s="9" t="str">
        <x:v>DOUBAO-08</x:v>
      </x:c>
      <x:c r="G52" s="9" t="str">
        <x:v>QWEN-05</x:v>
      </x:c>
      <x:c r="H52" s="12" t="n">
        <x:f>COUNTA(E52:G52)</x:f>
        <x:v>3</x:v>
      </x:c>
      <x:c r="I52" s="16" t="str">
        <x:v>否</x:v>
      </x:c>
    </x:row>
    <x:row r="53" ht="40" customHeight="1">
      <x:c r="A53" s="2" t="str">
        <x:v>UC_46</x:v>
      </x:c>
      <x:c r="B53" s="2" t="str">
        <x:v>JTV Auctions</x:v>
      </x:c>
      <x:c r="C53" s="2" t="str">
        <x:v>UC-a0b239f33bac2a8b</x:v>
      </x:c>
      <x:c r="D53" s="15" t="str">
        <x:v>Suspend or Deactivate Customer Accounts</x:v>
      </x:c>
      <x:c r="E53" s="2" t="str">
        <x:v>GLM-11</x:v>
      </x:c>
      <x:c r="F53" s="2" t="str">
        <x:v>DOUBAO-13</x:v>
      </x:c>
      <x:c r="G53" s="2" t="str">
        <x:v>QWEN-12</x:v>
      </x:c>
      <x:c r="H53" s="13" t="n">
        <x:f>COUNTA(E53:G53)</x:f>
        <x:v>3</x:v>
      </x:c>
      <x:c r="I53" s="17" t="str">
        <x:v>否</x:v>
      </x:c>
    </x:row>
    <x:row r="54" ht="40" customHeight="1">
      <x:c r="A54" s="9" t="str">
        <x:v>UC_47</x:v>
      </x:c>
      <x:c r="B54" s="9" t="str">
        <x:v>MIL-STD-6016B 第4节</x:v>
      </x:c>
      <x:c r="C54" s="9" t="str">
        <x:v>UC-ebe20697e727f762</x:v>
      </x:c>
      <x:c r="D54" s="14" t="str">
        <x:v>Associate Related Surveillance Tracks and Points</x:v>
      </x:c>
      <x:c r="E54" s="9" t="str">
        <x:v>GLM-11</x:v>
      </x:c>
      <x:c r="F54" s="9" t="str">
        <x:v>DOUBAO-10</x:v>
      </x:c>
      <x:c r="G54" s="9" t="str">
        <x:v>QWEN-02</x:v>
      </x:c>
      <x:c r="H54" s="12" t="n">
        <x:f>COUNTA(E54:G54)</x:f>
        <x:v>3</x:v>
      </x:c>
      <x:c r="I54" s="16" t="str">
        <x:v>否</x:v>
      </x:c>
    </x:row>
    <x:row r="55" ht="40" customHeight="1">
      <x:c r="A55" s="2" t="str">
        <x:v>UC_48</x:v>
      </x:c>
      <x:c r="B55" s="2" t="str">
        <x:v>MIL-STD-6016B 第4节</x:v>
      </x:c>
      <x:c r="C55" s="2" t="str">
        <x:v>UC-329ce9eb6a4e99cf</x:v>
      </x:c>
      <x:c r="D55" s="15" t="str">
        <x:v>Clear Exercise Surveillance Data on an Exercise Status Order</x:v>
      </x:c>
      <x:c r="E55" s="2" t="str">
        <x:v>GLM-01</x:v>
      </x:c>
      <x:c r="F55" s="2" t="str">
        <x:v>DOUBAO-09</x:v>
      </x:c>
      <x:c r="G55" s="2" t="str">
        <x:v>QWEN-12</x:v>
      </x:c>
      <x:c r="H55" s="13" t="n">
        <x:f>COUNTA(E55:G55)</x:f>
        <x:v>3</x:v>
      </x:c>
      <x:c r="I55" s="17" t="str">
        <x:v>否</x:v>
      </x:c>
    </x:row>
    <x:row r="56" ht="40" customHeight="1">
      <x:c r="A56" s="9" t="str">
        <x:v>UC_49</x:v>
      </x:c>
      <x:c r="B56" s="9" t="str">
        <x:v>MIL-STD-6016B 第4节</x:v>
      </x:c>
      <x:c r="C56" s="9" t="str">
        <x:v>UC-5d871faa2b899b9a</x:v>
      </x:c>
      <x:c r="D56" s="14" t="str">
        <x:v>Coordinate Surveillance Transmit Filters</x:v>
      </x:c>
      <x:c r="E56" s="9" t="str">
        <x:v>GLM-06</x:v>
      </x:c>
      <x:c r="F56" s="9" t="str">
        <x:v>DOUBAO-14</x:v>
      </x:c>
      <x:c r="G56" s="9" t="str">
        <x:v>QWEN-04</x:v>
      </x:c>
      <x:c r="H56" s="12" t="n">
        <x:f>COUNTA(E56:G56)</x:f>
        <x:v>3</x:v>
      </x:c>
      <x:c r="I56" s="16" t="str">
        <x:v>否</x:v>
      </x:c>
    </x:row>
    <x:row r="57" ht="40" customHeight="1">
      <x:c r="A57" s="2" t="str">
        <x:v>UC_50</x:v>
      </x:c>
      <x:c r="B57" s="2" t="str">
        <x:v>MIL-STD-6016B 第4节</x:v>
      </x:c>
      <x:c r="C57" s="2" t="str">
        <x:v>UC-fc4b3d8f61a5f5ed</x:v>
      </x:c>
      <x:c r="D57" s="15" t="str">
        <x:v>Decorrelate Diverging Air or Surface Tracks</x:v>
      </x:c>
      <x:c r="E57" s="2" t="str">
        <x:v>GLM-09</x:v>
      </x:c>
      <x:c r="F57" s="2" t="str">
        <x:v>DOUBAO-13</x:v>
      </x:c>
      <x:c r="G57" s="2" t="str">
        <x:v>QWEN-07</x:v>
      </x:c>
      <x:c r="H57" s="13" t="n">
        <x:f>COUNTA(E57:G57)</x:f>
        <x:v>3</x:v>
      </x:c>
      <x:c r="I57" s="17" t="str">
        <x:v>否</x:v>
      </x:c>
    </x:row>
    <x:row r="58" ht="40" customHeight="1">
      <x:c r="A58" s="9" t="str">
        <x:v>UC_51</x:v>
      </x:c>
      <x:c r="B58" s="9" t="str">
        <x:v>MIL-STD-6016B 第4节</x:v>
      </x:c>
      <x:c r="C58" s="9" t="str">
        <x:v>UC-8be19df9253962a1</x:v>
      </x:c>
      <x:c r="D58" s="14" t="str">
        <x:v>Initiate and Clear Surveillance Track Alerts</x:v>
      </x:c>
      <x:c r="E58" s="9" t="str">
        <x:v>GLM-10</x:v>
      </x:c>
      <x:c r="F58" s="9" t="str">
        <x:v>DOUBAO-12</x:v>
      </x:c>
      <x:c r="G58" s="9" t="str">
        <x:v>QWEN-09</x:v>
      </x:c>
      <x:c r="H58" s="12" t="n">
        <x:f>COUNTA(E58:G58)</x:f>
        <x:v>3</x:v>
      </x:c>
      <x:c r="I58" s="16" t="str">
        <x:v>否</x:v>
      </x:c>
    </x:row>
    <x:row r="59" ht="40" customHeight="1">
      <x:c r="A59" s="2" t="str">
        <x:v>UC_52</x:v>
      </x:c>
      <x:c r="B59" s="2" t="str">
        <x:v>MIL-STD-6016B 第4节</x:v>
      </x:c>
      <x:c r="C59" s="2" t="str">
        <x:v>UC-ac31ca03f4206d22</x:v>
      </x:c>
      <x:c r="D59" s="15" t="str">
        <x:v>Publish Ballistic Missile Surveillance Reports</x:v>
      </x:c>
      <x:c r="E59" s="2" t="str">
        <x:v>GLM-02</x:v>
      </x:c>
      <x:c r="F59" s="2" t="str">
        <x:v>DOUBAO-07</x:v>
      </x:c>
      <x:c r="G59" s="2" t="str">
        <x:v>QWEN-05</x:v>
      </x:c>
      <x:c r="H59" s="13" t="n">
        <x:f>COUNTA(E59:G59)</x:f>
        <x:v>3</x:v>
      </x:c>
      <x:c r="I59" s="17" t="str">
        <x:v>否</x:v>
      </x:c>
    </x:row>
    <x:row r="60" ht="40" customHeight="1">
      <x:c r="A60" s="9" t="str">
        <x:v>UC_53</x:v>
      </x:c>
      <x:c r="B60" s="9" t="str">
        <x:v>MIL-STD-6016B 第4节</x:v>
      </x:c>
      <x:c r="C60" s="9" t="str">
        <x:v>UC-4efd41ee189bfdc8</x:v>
      </x:c>
      <x:c r="D60" s="14" t="str">
        <x:v>Publish Electronic Warfare Surveillance Products</x:v>
      </x:c>
      <x:c r="E60" s="9" t="str">
        <x:v>GLM-07</x:v>
      </x:c>
      <x:c r="F60" s="9" t="str">
        <x:v>DOUBAO-11</x:v>
      </x:c>
      <x:c r="G60" s="9" t="str">
        <x:v>QWEN-11</x:v>
      </x:c>
      <x:c r="H60" s="12" t="n">
        <x:f>COUNTA(E60:G60)</x:f>
        <x:v>3</x:v>
      </x:c>
      <x:c r="I60" s="16" t="str">
        <x:v>否</x:v>
      </x:c>
    </x:row>
    <x:row r="61" ht="40" customHeight="1">
      <x:c r="A61" s="2" t="str">
        <x:v>UC_54</x:v>
      </x:c>
      <x:c r="B61" s="2" t="str">
        <x:v>MIL-STD-6016B 第4节</x:v>
      </x:c>
      <x:c r="C61" s="2" t="str">
        <x:v>UC-97ef3f19d7c7ecb3</x:v>
      </x:c>
      <x:c r="D61" s="15" t="str">
        <x:v>Publish Subsurface Surveillance and Acoustic Contact Reports</x:v>
      </x:c>
      <x:c r="E61" s="2" t="str">
        <x:v>GLM-03</x:v>
      </x:c>
      <x:c r="F61" s="2" t="str">
        <x:v>DOUBAO-01</x:v>
      </x:c>
      <x:c r="G61" s="2" t="str">
        <x:v>QWEN-06</x:v>
      </x:c>
      <x:c r="H61" s="13" t="n">
        <x:f>COUNTA(E61:G61)</x:f>
        <x:v>3</x:v>
      </x:c>
      <x:c r="I61" s="17" t="str">
        <x:v>否</x:v>
      </x:c>
    </x:row>
    <x:row r="62" ht="40" customHeight="1">
      <x:c r="A62" s="9" t="str">
        <x:v>UC_55</x:v>
      </x:c>
      <x:c r="B62" s="9" t="str">
        <x:v>MIL-STD-6016B 第4节</x:v>
      </x:c>
      <x:c r="C62" s="9" t="str">
        <x:v>UC-c64867e2d8f5a767</x:v>
      </x:c>
      <x:c r="D62" s="14" t="str">
        <x:v>Request Cross-Link Track Identifiers</x:v>
      </x:c>
      <x:c r="E62" s="9" t="str">
        <x:v>GLM-06</x:v>
      </x:c>
      <x:c r="F62" s="9" t="str">
        <x:v>DOUBAO-03</x:v>
      </x:c>
      <x:c r="G62" s="9" t="str">
        <x:v>QWEN-13</x:v>
      </x:c>
      <x:c r="H62" s="12" t="n">
        <x:f>COUNTA(E62:G62)</x:f>
        <x:v>3</x:v>
      </x:c>
      <x:c r="I62" s="16" t="str">
        <x:v>否</x:v>
      </x:c>
    </x:row>
    <x:row r="63" ht="40" customHeight="1">
      <x:c r="A63" s="2" t="str">
        <x:v>UC_56</x:v>
      </x:c>
      <x:c r="B63" s="2" t="str">
        <x:v>MIL-STD-6016B 第4节</x:v>
      </x:c>
      <x:c r="C63" s="2" t="str">
        <x:v>UC-46fbab4741209ad4</x:v>
      </x:c>
      <x:c r="D63" s="15" t="str">
        <x:v>Request Surveillance Data Updates</x:v>
      </x:c>
      <x:c r="E63" s="2" t="str">
        <x:v>GLM-08</x:v>
      </x:c>
      <x:c r="F63" s="2" t="str">
        <x:v>DOUBAO-12</x:v>
      </x:c>
      <x:c r="G63" s="2" t="str">
        <x:v>QWEN-01</x:v>
      </x:c>
      <x:c r="H63" s="13" t="n">
        <x:f>COUNTA(E63:G63)</x:f>
        <x:v>3</x:v>
      </x:c>
      <x:c r="I63" s="17" t="str">
        <x:v>否</x:v>
      </x:c>
    </x:row>
    <x:row r="64" ht="40" customHeight="1">
      <x:c r="A64" s="9" t="str">
        <x:v>UC_57</x:v>
      </x:c>
      <x:c r="B64" s="9" t="str">
        <x:v>MIL-STD-6016B 第4节</x:v>
      </x:c>
      <x:c r="C64" s="9" t="str">
        <x:v>UC-822279b81e1bd73f</x:v>
      </x:c>
      <x:c r="D64" s="14" t="str">
        <x:v>Share a Geographic Pointer with Other Units</x:v>
      </x:c>
      <x:c r="E64" s="9" t="str">
        <x:v>GLM-04</x:v>
      </x:c>
      <x:c r="F64" s="9" t="str">
        <x:v>DOUBAO-08</x:v>
      </x:c>
      <x:c r="G64" s="9" t="str">
        <x:v>QWEN-14</x:v>
      </x:c>
      <x:c r="H64" s="12" t="n">
        <x:f>COUNTA(E64:G64)</x:f>
        <x:v>3</x:v>
      </x:c>
      <x:c r="I64" s="16" t="str">
        <x:v>否</x:v>
      </x:c>
    </x:row>
    <x:row r="65" ht="40" customHeight="1">
      <x:c r="A65" s="2" t="str">
        <x:v>UC_58</x:v>
      </x:c>
      <x:c r="B65" s="2" t="str">
        <x:v>Qheadache</x:v>
      </x:c>
      <x:c r="C65" s="2" t="str">
        <x:v>UC-6094a643936a7ee0</x:v>
      </x:c>
      <x:c r="D65" s="15" t="str">
        <x:v>Erase All Recorded Player Statistics</x:v>
      </x:c>
      <x:c r="E65" s="2" t="str">
        <x:v>GLM-02</x:v>
      </x:c>
      <x:c r="F65" s="2" t="str">
        <x:v>DOUBAO-07</x:v>
      </x:c>
      <x:c r="G65" s="2" t="str">
        <x:v>QWEN-06</x:v>
      </x:c>
      <x:c r="H65" s="13" t="n">
        <x:f>COUNTA(E65:G65)</x:f>
        <x:v>3</x:v>
      </x:c>
      <x:c r="I65" s="17" t="str">
        <x:v>否</x:v>
      </x:c>
    </x:row>
    <x:row r="66" ht="40" customHeight="1">
      <x:c r="A66" s="9" t="str">
        <x:v>UC_59</x:v>
      </x:c>
      <x:c r="B66" s="9" t="str">
        <x:v>Qheadache</x:v>
      </x:c>
      <x:c r="C66" s="9" t="str">
        <x:v>UC-6aa56069d69b81e5</x:v>
      </x:c>
      <x:c r="D66" s="14" t="str">
        <x:v>Exit the Game with Unsaved Progress Handling</x:v>
      </x:c>
      <x:c r="E66" s="9" t="str">
        <x:v>GLM-03</x:v>
      </x:c>
      <x:c r="F66" s="9" t="str">
        <x:v>DOUBAO-06</x:v>
      </x:c>
      <x:c r="G66" s="9" t="str">
        <x:v>QWEN-02</x:v>
      </x:c>
      <x:c r="H66" s="12" t="n">
        <x:f>COUNTA(E66:G66)</x:f>
        <x:v>3</x:v>
      </x:c>
      <x:c r="I66" s="16" t="str">
        <x:v>否</x:v>
      </x:c>
    </x:row>
    <x:row r="67" ht="40" customHeight="1">
      <x:c r="A67" s="2" t="str">
        <x:v>UC_60</x:v>
      </x:c>
      <x:c r="B67" s="2" t="str">
        <x:v>Qheadache</x:v>
      </x:c>
      <x:c r="C67" s="2" t="str">
        <x:v>UC-7928476e7ef4eea9</x:v>
      </x:c>
      <x:c r="D67" s="15" t="str">
        <x:v>Redo the Last Undone Block Movement</x:v>
      </x:c>
      <x:c r="E67" s="2" t="str">
        <x:v>GLM-06</x:v>
      </x:c>
      <x:c r="F67" s="2" t="str">
        <x:v>DOUBAO-05</x:v>
      </x:c>
      <x:c r="G67" s="2" t="str">
        <x:v>QWEN-08</x:v>
      </x:c>
      <x:c r="H67" s="13" t="n">
        <x:f>COUNTA(E67:G67)</x:f>
        <x:v>3</x:v>
      </x:c>
      <x:c r="I67" s="17" t="str">
        <x:v>否</x:v>
      </x:c>
    </x:row>
    <x:row r="68" ht="40" customHeight="1">
      <x:c r="A68" s="9" t="str">
        <x:v>UC_61</x:v>
      </x:c>
      <x:c r="B68" s="9" t="str">
        <x:v>Qheadache</x:v>
      </x:c>
      <x:c r="C68" s="9" t="str">
        <x:v>UC-9b5faf3c5de8492a</x:v>
      </x:c>
      <x:c r="D68" s="14" t="str">
        <x:v>View Recorded Player Statistics</x:v>
      </x:c>
      <x:c r="E68" s="9" t="str">
        <x:v>GLM-04</x:v>
      </x:c>
      <x:c r="F68" s="9" t="str">
        <x:v>DOUBAO-04</x:v>
      </x:c>
      <x:c r="G68" s="9" t="str">
        <x:v>QWEN-05</x:v>
      </x:c>
      <x:c r="H68" s="12" t="n">
        <x:f>COUNTA(E68:G68)</x:f>
        <x:v>3</x:v>
      </x:c>
      <x:c r="I68" s="16" t="str">
        <x:v>否</x:v>
      </x:c>
    </x:row>
    <x:row r="69" ht="40" customHeight="1">
      <x:c r="A69" s="2" t="str">
        <x:v>UC_62</x:v>
      </x:c>
      <x:c r="B69" s="2" t="str">
        <x:v>Microcare</x:v>
      </x:c>
      <x:c r="C69" s="2" t="str">
        <x:v>UC-9b88321373e19c4d</x:v>
      </x:c>
      <x:c r="D69" s="15" t="str">
        <x:v>Configure User Group Permissions</x:v>
      </x:c>
      <x:c r="E69" s="2" t="str">
        <x:v>GLM-09</x:v>
      </x:c>
      <x:c r="F69" s="2" t="str">
        <x:v>DOUBAO-11</x:v>
      </x:c>
      <x:c r="G69" s="2" t="str">
        <x:v>QWEN-03</x:v>
      </x:c>
      <x:c r="H69" s="13" t="n">
        <x:f>COUNTA(E69:G69)</x:f>
        <x:v>3</x:v>
      </x:c>
      <x:c r="I69" s="17" t="str">
        <x:v>否</x:v>
      </x:c>
    </x:row>
    <x:row r="70" ht="40" customHeight="1">
      <x:c r="A70" s="9" t="str">
        <x:v>UC_63</x:v>
      </x:c>
      <x:c r="B70" s="9" t="str">
        <x:v>Microcare</x:v>
      </x:c>
      <x:c r="C70" s="9" t="str">
        <x:v>UC-e5b0a7ac1c6745f0</x:v>
      </x:c>
      <x:c r="D70" s="14" t="str">
        <x:v>Create a User Account</x:v>
      </x:c>
      <x:c r="E70" s="9" t="str">
        <x:v>GLM-03</x:v>
      </x:c>
      <x:c r="F70" s="9" t="str">
        <x:v>DOUBAO-02</x:v>
      </x:c>
      <x:c r="G70" s="9" t="str">
        <x:v>QWEN-04</x:v>
      </x:c>
      <x:c r="H70" s="12" t="n">
        <x:f>COUNTA(E70:G70)</x:f>
        <x:v>3</x:v>
      </x:c>
      <x:c r="I70" s="16" t="str">
        <x:v>否</x:v>
      </x:c>
    </x:row>
    <x:row r="71" ht="40" customHeight="1">
      <x:c r="A71" s="2" t="str">
        <x:v>UC_64</x:v>
      </x:c>
      <x:c r="B71" s="2" t="str">
        <x:v>Microcare</x:v>
      </x:c>
      <x:c r="C71" s="2" t="str">
        <x:v>UC-4ca8948f91fd20ca</x:v>
      </x:c>
      <x:c r="D71" s="15" t="str">
        <x:v>Create and Print a Voucher Batch</x:v>
      </x:c>
      <x:c r="E71" s="2" t="str">
        <x:v>GLM-03</x:v>
      </x:c>
      <x:c r="F71" s="2" t="str">
        <x:v>DOUBAO-09</x:v>
      </x:c>
      <x:c r="G71" s="2" t="str">
        <x:v>QWEN-02</x:v>
      </x:c>
      <x:c r="H71" s="13" t="n">
        <x:f>COUNTA(E71:G71)</x:f>
        <x:v>3</x:v>
      </x:c>
      <x:c r="I71" s="17" t="str">
        <x:v>否</x:v>
      </x:c>
    </x:row>
    <x:row r="72" ht="40" customHeight="1">
      <x:c r="A72" s="9" t="str">
        <x:v>UC_65</x:v>
      </x:c>
      <x:c r="B72" s="9" t="str">
        <x:v>Microcare</x:v>
      </x:c>
      <x:c r="C72" s="9" t="str">
        <x:v>UC-0322f7e7255c507e</x:v>
      </x:c>
      <x:c r="D72" s="14" t="str">
        <x:v>Generate Provider Reimbursement Reports</x:v>
      </x:c>
      <x:c r="E72" s="9" t="str">
        <x:v>GLM-06</x:v>
      </x:c>
      <x:c r="F72" s="9" t="str">
        <x:v>DOUBAO-12</x:v>
      </x:c>
      <x:c r="G72" s="9" t="str">
        <x:v>QWEN-11</x:v>
      </x:c>
      <x:c r="H72" s="12" t="n">
        <x:f>COUNTA(E72:G72)</x:f>
        <x:v>3</x:v>
      </x:c>
      <x:c r="I72" s="16" t="str">
        <x:v>否</x:v>
      </x:c>
    </x:row>
    <x:row r="73" ht="40" customHeight="1">
      <x:c r="A73" s="2" t="str">
        <x:v>UC_66</x:v>
      </x:c>
      <x:c r="B73" s="2" t="str">
        <x:v>Microcare</x:v>
      </x:c>
      <x:c r="C73" s="2" t="str">
        <x:v>UC-aa11f730f216bb96</x:v>
      </x:c>
      <x:c r="D73" s="15" t="str">
        <x:v>Generate Treatment Quality and Trend Reports</x:v>
      </x:c>
      <x:c r="E73" s="2" t="str">
        <x:v>GLM-05</x:v>
      </x:c>
      <x:c r="F73" s="2" t="str">
        <x:v>DOUBAO-08</x:v>
      </x:c>
      <x:c r="G73" s="2" t="str">
        <x:v>QWEN-09</x:v>
      </x:c>
      <x:c r="H73" s="13" t="n">
        <x:f>COUNTA(E73:G73)</x:f>
        <x:v>3</x:v>
      </x:c>
      <x:c r="I73" s="17" t="str">
        <x:v>否</x:v>
      </x:c>
    </x:row>
    <x:row r="74" ht="40" customHeight="1">
      <x:c r="A74" s="9" t="str">
        <x:v>UC_67</x:v>
      </x:c>
      <x:c r="B74" s="9" t="str">
        <x:v>Microcare</x:v>
      </x:c>
      <x:c r="C74" s="9" t="str">
        <x:v>UC-6999407edd2b3515</x:v>
      </x:c>
      <x:c r="D74" s="14" t="str">
        <x:v>Maintain Distributor Records</x:v>
      </x:c>
      <x:c r="E74" s="9" t="str">
        <x:v>GLM-12</x:v>
      </x:c>
      <x:c r="F74" s="9" t="str">
        <x:v>DOUBAO-06</x:v>
      </x:c>
      <x:c r="G74" s="9" t="str">
        <x:v>QWEN-14</x:v>
      </x:c>
      <x:c r="H74" s="12" t="n">
        <x:f>COUNTA(E74:G74)</x:f>
        <x:v>3</x:v>
      </x:c>
      <x:c r="I74" s="16" t="str">
        <x:v>否</x:v>
      </x:c>
    </x:row>
    <x:row r="75" ht="40" customHeight="1">
      <x:c r="A75" s="2" t="str">
        <x:v>UC_68</x:v>
      </x:c>
      <x:c r="B75" s="2" t="str">
        <x:v>Microcare</x:v>
      </x:c>
      <x:c r="C75" s="2" t="str">
        <x:v>UC-5378f77e90aa8b68</x:v>
      </x:c>
      <x:c r="D75" s="15" t="str">
        <x:v>Maintain Voucher Service Provider Records</x:v>
      </x:c>
      <x:c r="E75" s="2" t="str">
        <x:v>GLM-11</x:v>
      </x:c>
      <x:c r="F75" s="2" t="str">
        <x:v>DOUBAO-03</x:v>
      </x:c>
      <x:c r="G75" s="2" t="str">
        <x:v>QWEN-05</x:v>
      </x:c>
      <x:c r="H75" s="13" t="n">
        <x:f>COUNTA(E75:G75)</x:f>
        <x:v>3</x:v>
      </x:c>
      <x:c r="I75" s="17" t="str">
        <x:v>否</x:v>
      </x:c>
    </x:row>
    <x:row r="76" ht="40" customHeight="1">
      <x:c r="A76" s="9" t="str">
        <x:v>UC_69</x:v>
      </x:c>
      <x:c r="B76" s="9" t="str">
        <x:v>Microcare</x:v>
      </x:c>
      <x:c r="C76" s="9" t="str">
        <x:v>UC-39c6d8ad25afbea3</x:v>
      </x:c>
      <x:c r="D76" s="14" t="str">
        <x:v>Register a VSP Staff Member</x:v>
      </x:c>
      <x:c r="E76" s="9" t="str">
        <x:v>GLM-10</x:v>
      </x:c>
      <x:c r="F76" s="9" t="str">
        <x:v>DOUBAO-11</x:v>
      </x:c>
      <x:c r="G76" s="9" t="str">
        <x:v>QWEN-01</x:v>
      </x:c>
      <x:c r="H76" s="12" t="n">
        <x:f>COUNTA(E76:G76)</x:f>
        <x:v>3</x:v>
      </x:c>
      <x:c r="I76" s="16" t="str">
        <x:v>否</x:v>
      </x:c>
    </x:row>
    <x:row r="77" ht="40" customHeight="1">
      <x:c r="A77" s="2" t="str">
        <x:v>UC_70</x:v>
      </x:c>
      <x:c r="B77" s="2" t="str">
        <x:v>Microcare</x:v>
      </x:c>
      <x:c r="C77" s="2" t="str">
        <x:v>UC-59d553a6d05431d0</x:v>
      </x:c>
      <x:c r="D77" s="15" t="str">
        <x:v>Register an MSIU Salesperson</x:v>
      </x:c>
      <x:c r="E77" s="2" t="str">
        <x:v>GLM-02</x:v>
      </x:c>
      <x:c r="F77" s="2" t="str">
        <x:v>DOUBAO-04</x:v>
      </x:c>
      <x:c r="G77" s="2" t="str">
        <x:v>QWEN-07</x:v>
      </x:c>
      <x:c r="H77" s="13" t="n">
        <x:f>COUNTA(E77:G77)</x:f>
        <x:v>3</x:v>
      </x:c>
      <x:c r="I77" s="17" t="str">
        <x:v>否</x:v>
      </x:c>
    </x:row>
    <x:row r="78" ht="40" customHeight="1">
      <x:c r="A78" s="9" t="str">
        <x:v>UC_71</x:v>
      </x:c>
      <x:c r="B78" s="9" t="str">
        <x:v>Microcare</x:v>
      </x:c>
      <x:c r="C78" s="9" t="str">
        <x:v>UC-5b28c9094c95712f</x:v>
      </x:c>
      <x:c r="D78" s="14" t="str">
        <x:v>Review a Distributor Sales History</x:v>
      </x:c>
      <x:c r="E78" s="9" t="str">
        <x:v>GLM-08</x:v>
      </x:c>
      <x:c r="F78" s="9" t="str">
        <x:v>DOUBAO-01</x:v>
      </x:c>
      <x:c r="G78" s="9" t="str">
        <x:v>QWEN-08</x:v>
      </x:c>
      <x:c r="H78" s="12" t="n">
        <x:f>COUNTA(E78:G78)</x:f>
        <x:v>3</x:v>
      </x:c>
      <x:c r="I78" s="16" t="str">
        <x:v>否</x:v>
      </x:c>
    </x:row>
    <x:row r="79" ht="40" customHeight="1">
      <x:c r="A79" s="2" t="str">
        <x:v>UC_72</x:v>
      </x:c>
      <x:c r="B79" s="2" t="str">
        <x:v>Microcare</x:v>
      </x:c>
      <x:c r="C79" s="2" t="str">
        <x:v>UC-5e1b75fbd45da207</x:v>
      </x:c>
      <x:c r="D79" s="15" t="str">
        <x:v>Review a Provider Claim Status</x:v>
      </x:c>
      <x:c r="E79" s="2" t="str">
        <x:v>GLM-05</x:v>
      </x:c>
      <x:c r="F79" s="2" t="str">
        <x:v>DOUBAO-10</x:v>
      </x:c>
      <x:c r="G79" s="2" t="str">
        <x:v>QWEN-13</x:v>
      </x:c>
      <x:c r="H79" s="13" t="n">
        <x:f>COUNTA(E79:G79)</x:f>
        <x:v>3</x:v>
      </x:c>
      <x:c r="I79" s="17" t="str">
        <x:v>否</x:v>
      </x:c>
    </x:row>
    <x:row r="80" ht="40" customHeight="1">
      <x:c r="A80" s="9" t="str">
        <x:v>UC_73</x:v>
      </x:c>
      <x:c r="B80" s="9" t="str">
        <x:v>RLCS</x:v>
      </x:c>
      <x:c r="C80" s="9" t="str">
        <x:v>UC-4011f09c36ad7e16</x:v>
      </x:c>
      <x:c r="D80" s="14" t="str">
        <x:v>Change the System Operating Mode</x:v>
      </x:c>
      <x:c r="E80" s="9" t="str">
        <x:v>GLM-12</x:v>
      </x:c>
      <x:c r="F80" s="9" t="str">
        <x:v>DOUBAO-12</x:v>
      </x:c>
      <x:c r="G80" s="9" t="str">
        <x:v>QWEN-07</x:v>
      </x:c>
      <x:c r="H80" s="12" t="n">
        <x:f>COUNTA(E80:G80)</x:f>
        <x:v>3</x:v>
      </x:c>
      <x:c r="I80" s="16" t="str">
        <x:v>否</x:v>
      </x:c>
    </x:row>
    <x:row r="81" ht="40" customHeight="1">
      <x:c r="A81" s="2" t="str">
        <x:v>UC_74</x:v>
      </x:c>
      <x:c r="B81" s="2" t="str">
        <x:v>RLCS</x:v>
      </x:c>
      <x:c r="C81" s="2" t="str">
        <x:v>UC-6a3d56be66e07d8a</x:v>
      </x:c>
      <x:c r="D81" s="15" t="str">
        <x:v>Close a Reversible-Lane Entrance</x:v>
      </x:c>
      <x:c r="E81" s="2" t="str">
        <x:v>GLM-12</x:v>
      </x:c>
      <x:c r="F81" s="2" t="str">
        <x:v>DOUBAO-13</x:v>
      </x:c>
      <x:c r="G81" s="2" t="str">
        <x:v>QWEN-05</x:v>
      </x:c>
      <x:c r="H81" s="13" t="n">
        <x:f>COUNTA(E81:G81)</x:f>
        <x:v>3</x:v>
      </x:c>
      <x:c r="I81" s="17" t="str">
        <x:v>否</x:v>
      </x:c>
    </x:row>
    <x:row r="82" ht="40" customHeight="1">
      <x:c r="A82" s="9" t="str">
        <x:v>UC_75</x:v>
      </x:c>
      <x:c r="B82" s="9" t="str">
        <x:v>RLCS</x:v>
      </x:c>
      <x:c r="C82" s="9" t="str">
        <x:v>UC-15acc98d9d7d801b</x:v>
      </x:c>
      <x:c r="D82" s="14" t="str">
        <x:v>Configure Operational Schedules</x:v>
      </x:c>
      <x:c r="E82" s="9" t="str">
        <x:v>GLM-02</x:v>
      </x:c>
      <x:c r="F82" s="9" t="str">
        <x:v>DOUBAO-11</x:v>
      </x:c>
      <x:c r="G82" s="9" t="str">
        <x:v>QWEN-14</x:v>
      </x:c>
      <x:c r="H82" s="12" t="n">
        <x:f>COUNTA(E82:G82)</x:f>
        <x:v>3</x:v>
      </x:c>
      <x:c r="I82" s="16" t="str">
        <x:v>否</x:v>
      </x:c>
    </x:row>
    <x:row r="83" ht="40" customHeight="1">
      <x:c r="A83" s="2" t="str">
        <x:v>UC_76</x:v>
      </x:c>
      <x:c r="B83" s="2" t="str">
        <x:v>RLCS</x:v>
      </x:c>
      <x:c r="C83" s="2" t="str">
        <x:v>UC-bbdf0380c70f468b</x:v>
      </x:c>
      <x:c r="D83" s="15" t="str">
        <x:v>Diagnose a Failed Device</x:v>
      </x:c>
      <x:c r="E83" s="2" t="str">
        <x:v>GLM-08</x:v>
      </x:c>
      <x:c r="F83" s="2" t="str">
        <x:v>DOUBAO-08</x:v>
      </x:c>
      <x:c r="G83" s="2" t="str">
        <x:v>QWEN-02</x:v>
      </x:c>
      <x:c r="H83" s="13" t="n">
        <x:f>COUNTA(E83:G83)</x:f>
        <x:v>3</x:v>
      </x:c>
      <x:c r="I83" s="17" t="str">
        <x:v>否</x:v>
      </x:c>
    </x:row>
    <x:row r="84" ht="40" customHeight="1">
      <x:c r="A84" s="9" t="str">
        <x:v>UC_77</x:v>
      </x:c>
      <x:c r="B84" s="9" t="str">
        <x:v>RLCS</x:v>
      </x:c>
      <x:c r="C84" s="9" t="str">
        <x:v>UC-996bd53fdb4ae8c9</x:v>
      </x:c>
      <x:c r="D84" s="14" t="str">
        <x:v>Display and Export System Information Logs</x:v>
      </x:c>
      <x:c r="E84" s="9" t="str">
        <x:v>GLM-02</x:v>
      </x:c>
      <x:c r="F84" s="9" t="str">
        <x:v>DOUBAO-07</x:v>
      </x:c>
      <x:c r="G84" s="9" t="str">
        <x:v>QWEN-11</x:v>
      </x:c>
      <x:c r="H84" s="12" t="n">
        <x:f>COUNTA(E84:G84)</x:f>
        <x:v>3</x:v>
      </x:c>
      <x:c r="I84" s="16" t="str">
        <x:v>否</x:v>
      </x:c>
    </x:row>
    <x:row r="85" ht="40" customHeight="1">
      <x:c r="A85" s="2" t="str">
        <x:v>UC_78</x:v>
      </x:c>
      <x:c r="B85" s="2" t="str">
        <x:v>RLCS</x:v>
      </x:c>
      <x:c r="C85" s="2" t="str">
        <x:v>UC-1346b235ce9f7289</x:v>
      </x:c>
      <x:c r="D85" s="15" t="str">
        <x:v>Initialize a Newly Online Control Unit</x:v>
      </x:c>
      <x:c r="E85" s="2" t="str">
        <x:v>GLM-11</x:v>
      </x:c>
      <x:c r="F85" s="2" t="str">
        <x:v>DOUBAO-01</x:v>
      </x:c>
      <x:c r="G85" s="2" t="str">
        <x:v>QWEN-03</x:v>
      </x:c>
      <x:c r="H85" s="13" t="n">
        <x:f>COUNTA(E85:G85)</x:f>
        <x:v>3</x:v>
      </x:c>
      <x:c r="I85" s="17" t="str">
        <x:v>否</x:v>
      </x:c>
    </x:row>
    <x:row r="86" ht="40" customHeight="1">
      <x:c r="A86" s="9" t="str">
        <x:v>UC_79</x:v>
      </x:c>
      <x:c r="B86" s="9" t="str">
        <x:v>RLCS</x:v>
      </x:c>
      <x:c r="C86" s="9" t="str">
        <x:v>UC-d6943f4b2b050e3d</x:v>
      </x:c>
      <x:c r="D86" s="14" t="str">
        <x:v>Maintain a Problem Work Order</x:v>
      </x:c>
      <x:c r="E86" s="9" t="str">
        <x:v>GLM-09</x:v>
      </x:c>
      <x:c r="F86" s="9" t="str">
        <x:v>DOUBAO-07</x:v>
      </x:c>
      <x:c r="G86" s="9" t="str">
        <x:v>QWEN-13</x:v>
      </x:c>
      <x:c r="H86" s="12" t="n">
        <x:f>COUNTA(E86:G86)</x:f>
        <x:v>3</x:v>
      </x:c>
      <x:c r="I86" s="16" t="str">
        <x:v>否</x:v>
      </x:c>
    </x:row>
    <x:row r="87" ht="40" customHeight="1">
      <x:c r="A87" s="2" t="str">
        <x:v>UC_80</x:v>
      </x:c>
      <x:c r="B87" s="2" t="str">
        <x:v>RLCS</x:v>
      </x:c>
      <x:c r="C87" s="2" t="str">
        <x:v>UC-2b2bc0ede1efd80d</x:v>
      </x:c>
      <x:c r="D87" s="15" t="str">
        <x:v>Monitor Facility and Device Status</x:v>
      </x:c>
      <x:c r="E87" s="2" t="str">
        <x:v>GLM-10</x:v>
      </x:c>
      <x:c r="F87" s="2" t="str">
        <x:v>DOUBAO-05</x:v>
      </x:c>
      <x:c r="G87" s="2" t="str">
        <x:v>QWEN-04</x:v>
      </x:c>
      <x:c r="H87" s="13" t="n">
        <x:f>COUNTA(E87:G87)</x:f>
        <x:v>3</x:v>
      </x:c>
      <x:c r="I87" s="17" t="str">
        <x:v>否</x:v>
      </x:c>
    </x:row>
    <x:row r="88" ht="40" customHeight="1">
      <x:c r="A88" s="9" t="str">
        <x:v>UC_81</x:v>
      </x:c>
      <x:c r="B88" s="9" t="str">
        <x:v>RLCS</x:v>
      </x:c>
      <x:c r="C88" s="9" t="str">
        <x:v>UC-f07afa7ba4e0f0c8</x:v>
      </x:c>
      <x:c r="D88" s="14" t="str">
        <x:v>Record an Operator Daily Diary</x:v>
      </x:c>
      <x:c r="E88" s="9" t="str">
        <x:v>GLM-04</x:v>
      </x:c>
      <x:c r="F88" s="9" t="str">
        <x:v>DOUBAO-02</x:v>
      </x:c>
      <x:c r="G88" s="9" t="str">
        <x:v>QWEN-08</x:v>
      </x:c>
      <x:c r="H88" s="12" t="n">
        <x:f>COUNTA(E88:G88)</x:f>
        <x:v>3</x:v>
      </x:c>
      <x:c r="I88" s="16" t="str">
        <x:v>否</x:v>
      </x:c>
    </x:row>
    <x:row r="89" ht="40" customHeight="1">
      <x:c r="A89" s="2" t="str">
        <x:v>UC_82</x:v>
      </x:c>
      <x:c r="B89" s="2" t="str">
        <x:v>RLCS</x:v>
      </x:c>
      <x:c r="C89" s="2" t="str">
        <x:v>UC-961b6e2852cd66c9</x:v>
      </x:c>
      <x:c r="D89" s="15" t="str">
        <x:v>Retrieve Historical Reports</x:v>
      </x:c>
      <x:c r="E89" s="2" t="str">
        <x:v>GLM-03</x:v>
      </x:c>
      <x:c r="F89" s="2" t="str">
        <x:v>DOUBAO-14</x:v>
      </x:c>
      <x:c r="G89" s="2" t="str">
        <x:v>QWEN-12</x:v>
      </x:c>
      <x:c r="H89" s="13" t="n">
        <x:f>COUNTA(E89:G89)</x:f>
        <x:v>3</x:v>
      </x:c>
      <x:c r="I89" s="17" t="str">
        <x:v>否</x:v>
      </x:c>
    </x:row>
    <x:row r="90" ht="40" customHeight="1">
      <x:c r="A90" s="9" t="str">
        <x:v>UC_83</x:v>
      </x:c>
      <x:c r="B90" s="9" t="str">
        <x:v>RLCS</x:v>
      </x:c>
      <x:c r="C90" s="9" t="str">
        <x:v>UC-ce3c4bf6f700e639</x:v>
      </x:c>
      <x:c r="D90" s="14" t="str">
        <x:v>Retrieve Published RLCS Status</x:v>
      </x:c>
      <x:c r="E90" s="9" t="str">
        <x:v>GLM-13</x:v>
      </x:c>
      <x:c r="F90" s="9" t="str">
        <x:v>DOUBAO-09</x:v>
      </x:c>
      <x:c r="G90" s="9" t="str">
        <x:v>QWEN-01</x:v>
      </x:c>
      <x:c r="H90" s="12" t="n">
        <x:f>COUNTA(E90:G90)</x:f>
        <x:v>3</x:v>
      </x:c>
      <x:c r="I90" s="16" t="str">
        <x:v>否</x:v>
      </x:c>
    </x:row>
    <x:row r="91" ht="40" customHeight="1">
      <x:c r="A91" s="2" t="str">
        <x:v>UC_84</x:v>
      </x:c>
      <x:c r="B91" s="2" t="str">
        <x:v>RLCS</x:v>
      </x:c>
      <x:c r="C91" s="2" t="str">
        <x:v>UC-6260b20e8f3e0093</x:v>
      </x:c>
      <x:c r="D91" s="15" t="str">
        <x:v>Revise Device Command Safety Rules</x:v>
      </x:c>
      <x:c r="E91" s="2" t="str">
        <x:v>GLM-07</x:v>
      </x:c>
      <x:c r="F91" s="2" t="str">
        <x:v>DOUBAO-06</x:v>
      </x:c>
      <x:c r="G91" s="2" t="str">
        <x:v>QWEN-09</x:v>
      </x:c>
      <x:c r="H91" s="13" t="n">
        <x:f>COUNTA(E91:G91)</x:f>
        <x:v>3</x:v>
      </x:c>
      <x:c r="I91" s="17" t="str">
        <x:v>否</x:v>
      </x:c>
    </x:row>
    <x:row r="92" ht="40" customHeight="1">
      <x:c r="A92" s="9" t="str">
        <x:v>UC_85</x:v>
      </x:c>
      <x:c r="B92" s="9" t="str">
        <x:v>RLCS</x:v>
      </x:c>
      <x:c r="C92" s="9" t="str">
        <x:v>UC-3de20ca5ecd805b8</x:v>
      </x:c>
      <x:c r="D92" s="14" t="str">
        <x:v>Update the Facility Map and Displayed Devices</x:v>
      </x:c>
      <x:c r="E92" s="9" t="str">
        <x:v>GLM-01</x:v>
      </x:c>
      <x:c r="F92" s="9" t="str">
        <x:v>DOUBAO-06</x:v>
      </x:c>
      <x:c r="G92" s="9" t="str">
        <x:v>QWEN-13</x:v>
      </x:c>
      <x:c r="H92" s="12" t="n">
        <x:f>COUNTA(E92:G92)</x:f>
        <x:v>3</x:v>
      </x:c>
      <x:c r="I92" s="16" t="str">
        <x:v>否</x:v>
      </x:c>
    </x:row>
    <x:row r="93" ht="40" customHeight="1">
      <x:c r="A93" s="2" t="str">
        <x:v>UC_86</x:v>
      </x:c>
      <x:c r="B93" s="2" t="str">
        <x:v>RLCS</x:v>
      </x:c>
      <x:c r="C93" s="2" t="str">
        <x:v>UC-0add6e4f536011c2</x:v>
      </x:c>
      <x:c r="D93" s="15" t="str">
        <x:v>Verify Control Unit Integrity</x:v>
      </x:c>
      <x:c r="E93" s="2" t="str">
        <x:v>GLM-06</x:v>
      </x:c>
      <x:c r="F93" s="2" t="str">
        <x:v>DOUBAO-04</x:v>
      </x:c>
      <x:c r="G93" s="2" t="str">
        <x:v>QWEN-14</x:v>
      </x:c>
      <x:c r="H93" s="13" t="n">
        <x:f>COUNTA(E93:G93)</x:f>
        <x:v>3</x:v>
      </x:c>
      <x:c r="I93" s="17" t="str">
        <x:v>否</x:v>
      </x:c>
    </x:row>
    <x:row r="94" ht="40" customHeight="1">
      <x:c r="A94" s="9" t="str">
        <x:v>UC_87</x:v>
      </x:c>
      <x:c r="B94" s="9" t="str">
        <x:v>PeaZip</x:v>
      </x:c>
      <x:c r="C94" s="9" t="str">
        <x:v>UC-fc6fc84083c75f61</x:v>
      </x:c>
      <x:c r="D94" s="14" t="str">
        <x:v>Browse and Search Files and Archives</x:v>
      </x:c>
      <x:c r="E94" s="9" t="str">
        <x:v>GLM-11</x:v>
      </x:c>
      <x:c r="F94" s="9" t="str">
        <x:v>DOUBAO-02</x:v>
      </x:c>
      <x:c r="G94" s="9" t="str">
        <x:v>QWEN-02</x:v>
      </x:c>
      <x:c r="H94" s="12" t="n">
        <x:f>COUNTA(E94:G94)</x:f>
        <x:v>3</x:v>
      </x:c>
      <x:c r="I94" s="16" t="str">
        <x:v>否</x:v>
      </x:c>
    </x:row>
    <x:row r="95" ht="40" customHeight="1">
      <x:c r="A95" s="2" t="str">
        <x:v>UC_88</x:v>
      </x:c>
      <x:c r="B95" s="2" t="str">
        <x:v>PeaZip</x:v>
      </x:c>
      <x:c r="C95" s="2" t="str">
        <x:v>UC-b5e0be4a8cc19292</x:v>
      </x:c>
      <x:c r="D95" s="15" t="str">
        <x:v>Check Files for Duplicates and Corruption</x:v>
      </x:c>
      <x:c r="E95" s="2" t="str">
        <x:v>GLM-04</x:v>
      </x:c>
      <x:c r="F95" s="2" t="str">
        <x:v>DOUBAO-03</x:v>
      </x:c>
      <x:c r="G95" s="2" t="str">
        <x:v>QWEN-11</x:v>
      </x:c>
      <x:c r="H95" s="13" t="n">
        <x:f>COUNTA(E95:G95)</x:f>
        <x:v>3</x:v>
      </x:c>
      <x:c r="I95" s="17" t="str">
        <x:v>否</x:v>
      </x:c>
    </x:row>
    <x:row r="96" ht="40" customHeight="1">
      <x:c r="A96" s="9" t="str">
        <x:v>UC_89</x:v>
      </x:c>
      <x:c r="B96" s="9" t="str">
        <x:v>PeaZip</x:v>
      </x:c>
      <x:c r="C96" s="9" t="str">
        <x:v>UC-d83a4e8e66e6f3d1</x:v>
      </x:c>
      <x:c r="D96" s="14" t="str">
        <x:v>Compare Two Files Byte by Byte</x:v>
      </x:c>
      <x:c r="E96" s="9" t="str">
        <x:v>GLM-08</x:v>
      </x:c>
      <x:c r="F96" s="9" t="str">
        <x:v>DOUBAO-08</x:v>
      </x:c>
      <x:c r="G96" s="9" t="str">
        <x:v>QWEN-04</x:v>
      </x:c>
      <x:c r="H96" s="12" t="n">
        <x:f>COUNTA(E96:G96)</x:f>
        <x:v>3</x:v>
      </x:c>
      <x:c r="I96" s="16" t="str">
        <x:v>否</x:v>
      </x:c>
    </x:row>
    <x:row r="97" ht="40" customHeight="1">
      <x:c r="A97" s="2" t="str">
        <x:v>UC_90</x:v>
      </x:c>
      <x:c r="B97" s="2" t="str">
        <x:v>PeaZip</x:v>
      </x:c>
      <x:c r="C97" s="2" t="str">
        <x:v>UC-0f00eefffe105f06</x:v>
      </x:c>
      <x:c r="D97" s="15" t="str">
        <x:v>Configure Application Preferences</x:v>
      </x:c>
      <x:c r="E97" s="2" t="str">
        <x:v>GLM-07</x:v>
      </x:c>
      <x:c r="F97" s="2" t="str">
        <x:v>DOUBAO-14</x:v>
      </x:c>
      <x:c r="G97" s="2" t="str">
        <x:v>QWEN-06</x:v>
      </x:c>
      <x:c r="H97" s="13" t="n">
        <x:f>COUNTA(E97:G97)</x:f>
        <x:v>3</x:v>
      </x:c>
      <x:c r="I97" s="17" t="str">
        <x:v>否</x:v>
      </x:c>
    </x:row>
    <x:row r="98" ht="40" customHeight="1">
      <x:c r="A98" s="9" t="str">
        <x:v>UC_91</x:v>
      </x:c>
      <x:c r="B98" s="9" t="str">
        <x:v>PeaZip</x:v>
      </x:c>
      <x:c r="C98" s="9" t="str">
        <x:v>UC-ae03c6e134913ca2</x:v>
      </x:c>
      <x:c r="D98" s="14" t="str">
        <x:v>Copy Uncompressed Files to Another Location</x:v>
      </x:c>
      <x:c r="E98" s="9" t="str">
        <x:v>GLM-14</x:v>
      </x:c>
      <x:c r="F98" s="9" t="str">
        <x:v>DOUBAO-06</x:v>
      </x:c>
      <x:c r="G98" s="9" t="str">
        <x:v>QWEN-13</x:v>
      </x:c>
      <x:c r="H98" s="12" t="n">
        <x:f>COUNTA(E98:G98)</x:f>
        <x:v>3</x:v>
      </x:c>
      <x:c r="I98" s="16" t="str">
        <x:v>否</x:v>
      </x:c>
    </x:row>
    <x:row r="99" ht="40" customHeight="1">
      <x:c r="A99" s="2" t="str">
        <x:v>UC_92</x:v>
      </x:c>
      <x:c r="B99" s="2" t="str">
        <x:v>PeaZip</x:v>
      </x:c>
      <x:c r="C99" s="2" t="str">
        <x:v>UC-5bf2661fcc7a6a11</x:v>
      </x:c>
      <x:c r="D99" s="15" t="str">
        <x:v>Inspect File and Archive Information</x:v>
      </x:c>
      <x:c r="E99" s="2" t="str">
        <x:v>GLM-12</x:v>
      </x:c>
      <x:c r="F99" s="2" t="str">
        <x:v>DOUBAO-10</x:v>
      </x:c>
      <x:c r="G99" s="2" t="str">
        <x:v>QWEN-07</x:v>
      </x:c>
      <x:c r="H99" s="13" t="n">
        <x:f>COUNTA(E99:G99)</x:f>
        <x:v>3</x:v>
      </x:c>
      <x:c r="I99" s="17" t="str">
        <x:v>否</x:v>
      </x:c>
    </x:row>
    <x:row r="100" ht="40" customHeight="1">
      <x:c r="A100" s="9" t="str">
        <x:v>UC_93</x:v>
      </x:c>
      <x:c r="B100" s="9" t="str">
        <x:v>PeaZip</x:v>
      </x:c>
      <x:c r="C100" s="9" t="str">
        <x:v>UC-d9cc94863eb2c8c0</x:v>
      </x:c>
      <x:c r="D100" s="14" t="str">
        <x:v>Securely Delete Files and Folders</x:v>
      </x:c>
      <x:c r="E100" s="9" t="str">
        <x:v>GLM-01</x:v>
      </x:c>
      <x:c r="F100" s="9" t="str">
        <x:v>DOUBAO-12</x:v>
      </x:c>
      <x:c r="G100" s="9" t="str">
        <x:v>QWEN-09</x:v>
      </x:c>
      <x:c r="H100" s="12" t="n">
        <x:f>COUNTA(E100:G100)</x:f>
        <x:v>3</x:v>
      </x:c>
      <x:c r="I100" s="16" t="str">
        <x:v>否</x:v>
      </x:c>
    </x:row>
  </x:sheetData>
  <x:conditionalFormatting sqref="H8:H100">
    <x:cfRule type="cellIs" dxfId="0" priority="1" operator="notEqual">
      <x:formula>3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3746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1" hidden="0" customWidth="1"/>
    <x:col min="2" max="2" width="20" hidden="0" customWidth="1"/>
    <x:col min="3" max="3" width="36" hidden="0" customWidth="1"/>
    <x:col min="4" max="4" width="20" hidden="0" customWidth="1"/>
    <x:col min="5" max="5" width="12" hidden="0" customWidth="1"/>
    <x:col min="6" max="6" width="64" hidden="0" customWidth="1"/>
    <x:col min="7" max="7" width="6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30" customHeight="1">
      <x:c r="A2" s="4" t="str">
        <x:v>L4 模拟从业者任务表</x:v>
      </x:c>
      <x:c r="B2" s="5"/>
      <x:c r="C2" s="5"/>
      <x:c r="D2" s="5"/>
      <x:c r="E2" s="5"/>
      <x:c r="F2" s="5"/>
      <x:c r="G2" s="5"/>
    </x:row>
    <x:row r="3" ht="24" customHeight="1">
      <x:c r="A3" s="2" t="str">
        <x:v>每个agent固定模型与职业视角，任务之间隔离会话。角色不改变量表或评分严厉程度。</x:v>
      </x:c>
      <x:c r="B3" s="2"/>
      <x:c r="C3" s="2"/>
      <x:c r="D3" s="2"/>
      <x:c r="E3" s="2"/>
      <x:c r="F3" s="2"/>
      <x:c r="G3" s="2"/>
    </x:row>
    <x:row r="4" ht="24" customHeight="1">
      <x:c r="A4" s="2" t="str">
        <x:v>每模型14个agent：需求分析4、软件架构4、测试与质量3、维护与交付3。</x:v>
      </x:c>
      <x:c r="B4" s="2"/>
      <x:c r="C4" s="2"/>
      <x:c r="D4" s="2"/>
      <x:c r="E4" s="2"/>
      <x:c r="F4" s="2"/>
      <x:c r="G4" s="2"/>
    </x:row>
    <x:row r="5" ht="24" customHeight="1">
      <x:c r="A5" s="2" t="str">
        <x:v>每agent评价6～7个用例，各用例同时评价七种匿名方法结果。</x:v>
      </x:c>
      <x:c r="B5" s="2"/>
      <x:c r="C5" s="2"/>
      <x:c r="D5" s="2" t="str">
        <x:v>总评价单元</x:v>
      </x:c>
      <x:c r="E5" s="2" t="n">
        <x:f>SUM(E8:E49)</x:f>
        <x:v>279</x:v>
      </x:c>
      <x:c r="F5" s="2"/>
      <x:c r="G5" s="2"/>
    </x:row>
    <x:row r="6" ht="24" customHeight="1">
      <x:c r="A6" s="2"/>
      <x:c r="B6" s="2"/>
      <x:c r="C6" s="2"/>
      <x:c r="D6" s="2"/>
      <x:c r="E6" s="2"/>
      <x:c r="F6" s="2"/>
      <x:c r="G6" s="2"/>
    </x:row>
    <x:row r="7" ht="30" customHeight="1">
      <x:c r="A7" s="8" t="str">
        <x:v>评审区组</x:v>
      </x:c>
      <x:c r="B7" s="8" t="str">
        <x:v>Agent ID</x:v>
      </x:c>
      <x:c r="C7" s="8" t="str">
        <x:v>固定模型</x:v>
      </x:c>
      <x:c r="D7" s="8" t="str">
        <x:v>职业视角</x:v>
      </x:c>
      <x:c r="E7" s="8" t="str">
        <x:v>用例数</x:v>
      </x:c>
      <x:c r="F7" s="8" t="str">
        <x:v>分配用例</x:v>
      </x:c>
      <x:c r="G7" s="8" t="str">
        <x:v>阅读侧重点</x:v>
      </x:c>
    </x:row>
    <x:row r="8" ht="42" customHeight="1">
      <x:c r="A8" s="9" t="str">
        <x:v>b_1</x:v>
      </x:c>
      <x:c r="B8" s="9" t="str">
        <x:v>GLM-01</x:v>
      </x:c>
      <x:c r="C8" s="9" t="str">
        <x:v>glm-4.6v</x:v>
      </x:c>
      <x:c r="D8" s="9" t="str">
        <x:v>需求分析</x:v>
      </x:c>
      <x:c r="E8" s="12" t="n">
        <x:f>COUNTIFS('用例分配'!$E$8:$E$100,B8)+COUNTIFS('用例分配'!$F$8:$F$100,B8)+COUNTIFS('用例分配'!$G$8:$G$100,B8)</x:f>
        <x:v>7</x:v>
      </x:c>
      <x:c r="F8" s="14" t="str">
        <x:v>UC_15, UC_48, UC_85, UC_40, UC_23, UC_93, UC_44</x:v>
      </x:c>
      <x:c r="G8" s="14" t="str">
        <x:v>从任务范围、参与者目标与需求表达的角度阅读。</x:v>
      </x:c>
    </x:row>
    <x:row r="9" ht="42" customHeight="1">
      <x:c r="A9" s="2" t="str">
        <x:v>b_2</x:v>
      </x:c>
      <x:c r="B9" s="2" t="str">
        <x:v>GLM-02</x:v>
      </x:c>
      <x:c r="C9" s="2" t="str">
        <x:v>glm-4.6v</x:v>
      </x:c>
      <x:c r="D9" s="2" t="str">
        <x:v>软件架构</x:v>
      </x:c>
      <x:c r="E9" s="13" t="n">
        <x:f>COUNTIFS('用例分配'!$E$8:$E$100,B9)+COUNTIFS('用例分配'!$F$8:$F$100,B9)+COUNTIFS('用例分配'!$G$8:$G$100,B9)</x:f>
        <x:v>7</x:v>
      </x:c>
      <x:c r="F9" s="15" t="str">
        <x:v>UC_11, UC_75, UC_70, UC_58, UC_77, UC_52, UC_36</x:v>
      </x:c>
      <x:c r="G9" s="15" t="str">
        <x:v>从接口边界、系统行为及后续设计的角度阅读。</x:v>
      </x:c>
    </x:row>
    <x:row r="10" ht="42" customHeight="1">
      <x:c r="A10" s="9" t="str">
        <x:v>b_3</x:v>
      </x:c>
      <x:c r="B10" s="9" t="str">
        <x:v>GLM-03</x:v>
      </x:c>
      <x:c r="C10" s="9" t="str">
        <x:v>glm-4.6v</x:v>
      </x:c>
      <x:c r="D10" s="9" t="str">
        <x:v>测试与质量</x:v>
      </x:c>
      <x:c r="E10" s="12" t="n">
        <x:f>COUNTIFS('用例分配'!$E$8:$E$100,B10)+COUNTIFS('用例分配'!$F$8:$F$100,B10)+COUNTIFS('用例分配'!$G$8:$G$100,B10)</x:f>
        <x:v>7</x:v>
      </x:c>
      <x:c r="F10" s="14" t="str">
        <x:v>UC_27, UC_35, UC_64, UC_59, UC_82, UC_54, UC_63</x:v>
      </x:c>
      <x:c r="G10" s="14" t="str">
        <x:v>从前提、触发、分支、异常和可验证性的角度阅读。</x:v>
      </x:c>
    </x:row>
    <x:row r="11" ht="42" customHeight="1">
      <x:c r="A11" s="2" t="str">
        <x:v>b_4</x:v>
      </x:c>
      <x:c r="B11" s="2" t="str">
        <x:v>GLM-04</x:v>
      </x:c>
      <x:c r="C11" s="2" t="str">
        <x:v>glm-4.6v</x:v>
      </x:c>
      <x:c r="D11" s="2" t="str">
        <x:v>维护与交付</x:v>
      </x:c>
      <x:c r="E11" s="13" t="n">
        <x:f>COUNTIFS('用例分配'!$E$8:$E$100,B11)+COUNTIFS('用例分配'!$F$8:$F$100,B11)+COUNTIFS('用例分配'!$G$8:$G$100,B11)</x:f>
        <x:v>7</x:v>
      </x:c>
      <x:c r="F11" s="15" t="str">
        <x:v>UC_25, UC_57, UC_22, UC_61, UC_88, UC_43, UC_81</x:v>
      </x:c>
      <x:c r="G11" s="15" t="str">
        <x:v>从状态变化、可理解性和实施交接的角度阅读。</x:v>
      </x:c>
    </x:row>
    <x:row r="12" ht="42" customHeight="1">
      <x:c r="A12" s="9" t="str">
        <x:v>b_5</x:v>
      </x:c>
      <x:c r="B12" s="9" t="str">
        <x:v>GLM-05</x:v>
      </x:c>
      <x:c r="C12" s="9" t="str">
        <x:v>glm-4.6v</x:v>
      </x:c>
      <x:c r="D12" s="9" t="str">
        <x:v>需求分析</x:v>
      </x:c>
      <x:c r="E12" s="12" t="n">
        <x:f>COUNTIFS('用例分配'!$E$8:$E$100,B12)+COUNTIFS('用例分配'!$F$8:$F$100,B12)+COUNTIFS('用例分配'!$G$8:$G$100,B12)</x:f>
        <x:v>7</x:v>
      </x:c>
      <x:c r="F12" s="14" t="str">
        <x:v>UC_12, UC_16, UC_72, UC_33, UC_66, UC_26, UC_34</x:v>
      </x:c>
      <x:c r="G12" s="14" t="str">
        <x:v>从任务范围、参与者目标与需求表达的角度阅读。</x:v>
      </x:c>
    </x:row>
    <x:row r="13" ht="42" customHeight="1">
      <x:c r="A13" s="2" t="str">
        <x:v>b_6</x:v>
      </x:c>
      <x:c r="B13" s="2" t="str">
        <x:v>GLM-06</x:v>
      </x:c>
      <x:c r="C13" s="2" t="str">
        <x:v>glm-4.6v</x:v>
      </x:c>
      <x:c r="D13" s="2" t="str">
        <x:v>软件架构</x:v>
      </x:c>
      <x:c r="E13" s="13" t="n">
        <x:f>COUNTIFS('用例分配'!$E$8:$E$100,B13)+COUNTIFS('用例分配'!$F$8:$F$100,B13)+COUNTIFS('用例分配'!$G$8:$G$100,B13)</x:f>
        <x:v>7</x:v>
      </x:c>
      <x:c r="F13" s="15" t="str">
        <x:v>UC_65, UC_39, UC_86, UC_49, UC_60, UC_55, UC_29</x:v>
      </x:c>
      <x:c r="G13" s="15" t="str">
        <x:v>从接口边界、系统行为及后续设计的角度阅读。</x:v>
      </x:c>
    </x:row>
    <x:row r="14" ht="42" customHeight="1">
      <x:c r="A14" s="9" t="str">
        <x:v>b_7</x:v>
      </x:c>
      <x:c r="B14" s="9" t="str">
        <x:v>GLM-07</x:v>
      </x:c>
      <x:c r="C14" s="9" t="str">
        <x:v>glm-4.6v</x:v>
      </x:c>
      <x:c r="D14" s="9" t="str">
        <x:v>测试与质量</x:v>
      </x:c>
      <x:c r="E14" s="12" t="n">
        <x:f>COUNTIFS('用例分配'!$E$8:$E$100,B14)+COUNTIFS('用例分配'!$F$8:$F$100,B14)+COUNTIFS('用例分配'!$G$8:$G$100,B14)</x:f>
        <x:v>7</x:v>
      </x:c>
      <x:c r="F14" s="14" t="str">
        <x:v>UC_4, UC_14, UC_90, UC_53, UC_84, UC_24, UC_21</x:v>
      </x:c>
      <x:c r="G14" s="14" t="str">
        <x:v>从前提、触发、分支、异常和可验证性的角度阅读。</x:v>
      </x:c>
    </x:row>
    <x:row r="15" ht="42" customHeight="1">
      <x:c r="A15" s="2" t="str">
        <x:v>b_8</x:v>
      </x:c>
      <x:c r="B15" s="2" t="str">
        <x:v>GLM-08</x:v>
      </x:c>
      <x:c r="C15" s="2" t="str">
        <x:v>glm-4.6v</x:v>
      </x:c>
      <x:c r="D15" s="2" t="str">
        <x:v>维护与交付</x:v>
      </x:c>
      <x:c r="E15" s="13" t="n">
        <x:f>COUNTIFS('用例分配'!$E$8:$E$100,B15)+COUNTIFS('用例分配'!$F$8:$F$100,B15)+COUNTIFS('用例分配'!$G$8:$G$100,B15)</x:f>
        <x:v>7</x:v>
      </x:c>
      <x:c r="F15" s="15" t="str">
        <x:v>UC_2, UC_5, UC_18, UC_56, UC_71, UC_76, UC_89</x:v>
      </x:c>
      <x:c r="G15" s="15" t="str">
        <x:v>从状态变化、可理解性和实施交接的角度阅读。</x:v>
      </x:c>
    </x:row>
    <x:row r="16" ht="42" customHeight="1">
      <x:c r="A16" s="9" t="str">
        <x:v>b_9</x:v>
      </x:c>
      <x:c r="B16" s="9" t="str">
        <x:v>GLM-09</x:v>
      </x:c>
      <x:c r="C16" s="9" t="str">
        <x:v>glm-4.6v</x:v>
      </x:c>
      <x:c r="D16" s="9" t="str">
        <x:v>需求分析</x:v>
      </x:c>
      <x:c r="E16" s="12" t="n">
        <x:f>COUNTIFS('用例分配'!$E$8:$E$100,B16)+COUNTIFS('用例分配'!$F$8:$F$100,B16)+COUNTIFS('用例分配'!$G$8:$G$100,B16)</x:f>
        <x:v>7</x:v>
      </x:c>
      <x:c r="F16" s="14" t="str">
        <x:v>UC_6, UC_13, UC_17, UC_62, UC_32, UC_79, UC_50</x:v>
      </x:c>
      <x:c r="G16" s="14" t="str">
        <x:v>从任务范围、参与者目标与需求表达的角度阅读。</x:v>
      </x:c>
    </x:row>
    <x:row r="17" ht="42" customHeight="1">
      <x:c r="A17" s="2" t="str">
        <x:v>b_10</x:v>
      </x:c>
      <x:c r="B17" s="2" t="str">
        <x:v>GLM-10</x:v>
      </x:c>
      <x:c r="C17" s="2" t="str">
        <x:v>glm-4.6v</x:v>
      </x:c>
      <x:c r="D17" s="2" t="str">
        <x:v>软件架构</x:v>
      </x:c>
      <x:c r="E17" s="13" t="n">
        <x:f>COUNTIFS('用例分配'!$E$8:$E$100,B17)+COUNTIFS('用例分配'!$F$8:$F$100,B17)+COUNTIFS('用例分配'!$G$8:$G$100,B17)</x:f>
        <x:v>6</x:v>
      </x:c>
      <x:c r="F17" s="15" t="str">
        <x:v>UC_38, UC_80, UC_69, UC_42, UC_51, UC_30</x:v>
      </x:c>
      <x:c r="G17" s="15" t="str">
        <x:v>从接口边界、系统行为及后续设计的角度阅读。</x:v>
      </x:c>
    </x:row>
    <x:row r="18" ht="42" customHeight="1">
      <x:c r="A18" s="9" t="str">
        <x:v>b_11</x:v>
      </x:c>
      <x:c r="B18" s="9" t="str">
        <x:v>GLM-11</x:v>
      </x:c>
      <x:c r="C18" s="9" t="str">
        <x:v>glm-4.6v</x:v>
      </x:c>
      <x:c r="D18" s="9" t="str">
        <x:v>测试与质量</x:v>
      </x:c>
      <x:c r="E18" s="12" t="n">
        <x:f>COUNTIFS('用例分配'!$E$8:$E$100,B18)+COUNTIFS('用例分配'!$F$8:$F$100,B18)+COUNTIFS('用例分配'!$G$8:$G$100,B18)</x:f>
        <x:v>6</x:v>
      </x:c>
      <x:c r="F18" s="14" t="str">
        <x:v>UC_9, UC_78, UC_68, UC_46, UC_47, UC_87</x:v>
      </x:c>
      <x:c r="G18" s="14" t="str">
        <x:v>从前提、触发、分支、异常和可验证性的角度阅读。</x:v>
      </x:c>
    </x:row>
    <x:row r="19" ht="42" customHeight="1">
      <x:c r="A19" s="2" t="str">
        <x:v>b_12</x:v>
      </x:c>
      <x:c r="B19" s="2" t="str">
        <x:v>GLM-12</x:v>
      </x:c>
      <x:c r="C19" s="2" t="str">
        <x:v>glm-4.6v</x:v>
      </x:c>
      <x:c r="D19" s="2" t="str">
        <x:v>维护与交付</x:v>
      </x:c>
      <x:c r="E19" s="13" t="n">
        <x:f>COUNTIFS('用例分配'!$E$8:$E$100,B19)+COUNTIFS('用例分配'!$F$8:$F$100,B19)+COUNTIFS('用例分配'!$G$8:$G$100,B19)</x:f>
        <x:v>6</x:v>
      </x:c>
      <x:c r="F19" s="15" t="str">
        <x:v>UC_1, UC_7, UC_73, UC_92, UC_67, UC_74</x:v>
      </x:c>
      <x:c r="G19" s="15" t="str">
        <x:v>从状态变化、可理解性和实施交接的角度阅读。</x:v>
      </x:c>
    </x:row>
    <x:row r="20" ht="42" customHeight="1">
      <x:c r="A20" s="9" t="str">
        <x:v>b_13</x:v>
      </x:c>
      <x:c r="B20" s="9" t="str">
        <x:v>GLM-13</x:v>
      </x:c>
      <x:c r="C20" s="9" t="str">
        <x:v>glm-4.6v</x:v>
      </x:c>
      <x:c r="D20" s="9" t="str">
        <x:v>需求分析</x:v>
      </x:c>
      <x:c r="E20" s="12" t="n">
        <x:f>COUNTIFS('用例分配'!$E$8:$E$100,B20)+COUNTIFS('用例分配'!$F$8:$F$100,B20)+COUNTIFS('用例分配'!$G$8:$G$100,B20)</x:f>
        <x:v>6</x:v>
      </x:c>
      <x:c r="F20" s="14" t="str">
        <x:v>UC_3, UC_8, UC_31, UC_45, UC_20, UC_83</x:v>
      </x:c>
      <x:c r="G20" s="14" t="str">
        <x:v>从任务范围、参与者目标与需求表达的角度阅读。</x:v>
      </x:c>
    </x:row>
    <x:row r="21" ht="42" customHeight="1">
      <x:c r="A21" s="2" t="str">
        <x:v>b_14</x:v>
      </x:c>
      <x:c r="B21" s="2" t="str">
        <x:v>GLM-14</x:v>
      </x:c>
      <x:c r="C21" s="2" t="str">
        <x:v>glm-4.6v</x:v>
      </x:c>
      <x:c r="D21" s="2" t="str">
        <x:v>软件架构</x:v>
      </x:c>
      <x:c r="E21" s="13" t="n">
        <x:f>COUNTIFS('用例分配'!$E$8:$E$100,B21)+COUNTIFS('用例分配'!$F$8:$F$100,B21)+COUNTIFS('用例分配'!$G$8:$G$100,B21)</x:f>
        <x:v>6</x:v>
      </x:c>
      <x:c r="F21" s="15" t="str">
        <x:v>UC_10, UC_19, UC_37, UC_28, UC_91, UC_41</x:v>
      </x:c>
      <x:c r="G21" s="15" t="str">
        <x:v>从接口边界、系统行为及后续设计的角度阅读。</x:v>
      </x:c>
    </x:row>
    <x:row r="22" ht="42" customHeight="1">
      <x:c r="A22" s="9" t="str">
        <x:v>b_15</x:v>
      </x:c>
      <x:c r="B22" s="9" t="str">
        <x:v>DOUBAO-01</x:v>
      </x:c>
      <x:c r="C22" s="9" t="str">
        <x:v>doubao-seed-2-1-pro-260915</x:v>
      </x:c>
      <x:c r="D22" s="9" t="str">
        <x:v>需求分析</x:v>
      </x:c>
      <x:c r="E22" s="12" t="n">
        <x:f>COUNTIFS('用例分配'!$E$8:$E$100,B22)+COUNTIFS('用例分配'!$F$8:$F$100,B22)+COUNTIFS('用例分配'!$G$8:$G$100,B22)</x:f>
        <x:v>7</x:v>
      </x:c>
      <x:c r="F22" s="14" t="str">
        <x:v>UC_2, UC_9, UC_78, UC_18, UC_31, UC_71, UC_54</x:v>
      </x:c>
      <x:c r="G22" s="14" t="str">
        <x:v>从任务范围、参与者目标与需求表达的角度阅读。</x:v>
      </x:c>
    </x:row>
    <x:row r="23" ht="42" customHeight="1">
      <x:c r="A23" s="2" t="str">
        <x:v>b_16</x:v>
      </x:c>
      <x:c r="B23" s="2" t="str">
        <x:v>DOUBAO-02</x:v>
      </x:c>
      <x:c r="C23" s="2" t="str">
        <x:v>doubao-seed-2-1-pro-260915</x:v>
      </x:c>
      <x:c r="D23" s="2" t="str">
        <x:v>软件架构</x:v>
      </x:c>
      <x:c r="E23" s="13" t="n">
        <x:f>COUNTIFS('用例分配'!$E$8:$E$100,B23)+COUNTIFS('用例分配'!$F$8:$F$100,B23)+COUNTIFS('用例分配'!$G$8:$G$100,B23)</x:f>
        <x:v>7</x:v>
      </x:c>
      <x:c r="F23" s="15" t="str">
        <x:v>UC_13, UC_39, UC_16, UC_37, UC_63, UC_81, UC_87</x:v>
      </x:c>
      <x:c r="G23" s="15" t="str">
        <x:v>从接口边界、系统行为及后续设计的角度阅读。</x:v>
      </x:c>
    </x:row>
    <x:row r="24" ht="42" customHeight="1">
      <x:c r="A24" s="9" t="str">
        <x:v>b_17</x:v>
      </x:c>
      <x:c r="B24" s="9" t="str">
        <x:v>DOUBAO-03</x:v>
      </x:c>
      <x:c r="C24" s="9" t="str">
        <x:v>doubao-seed-2-1-pro-260915</x:v>
      </x:c>
      <x:c r="D24" s="9" t="str">
        <x:v>测试与质量</x:v>
      </x:c>
      <x:c r="E24" s="12" t="n">
        <x:f>COUNTIFS('用例分配'!$E$8:$E$100,B24)+COUNTIFS('用例分配'!$F$8:$F$100,B24)+COUNTIFS('用例分配'!$G$8:$G$100,B24)</x:f>
        <x:v>7</x:v>
      </x:c>
      <x:c r="F24" s="14" t="str">
        <x:v>UC_6, UC_7, UC_17, UC_68, UC_24, UC_88, UC_55</x:v>
      </x:c>
      <x:c r="G24" s="14" t="str">
        <x:v>从前提、触发、分支、异常和可验证性的角度阅读。</x:v>
      </x:c>
    </x:row>
    <x:row r="25" ht="42" customHeight="1">
      <x:c r="A25" s="2" t="str">
        <x:v>b_18</x:v>
      </x:c>
      <x:c r="B25" s="2" t="str">
        <x:v>DOUBAO-04</x:v>
      </x:c>
      <x:c r="C25" s="2" t="str">
        <x:v>doubao-seed-2-1-pro-260915</x:v>
      </x:c>
      <x:c r="D25" s="2" t="str">
        <x:v>维护与交付</x:v>
      </x:c>
      <x:c r="E25" s="13" t="n">
        <x:f>COUNTIFS('用例分配'!$E$8:$E$100,B25)+COUNTIFS('用例分配'!$F$8:$F$100,B25)+COUNTIFS('用例分配'!$G$8:$G$100,B25)</x:f>
        <x:v>7</x:v>
      </x:c>
      <x:c r="F25" s="15" t="str">
        <x:v>UC_1, UC_14, UC_86, UC_35, UC_19, UC_70, UC_61</x:v>
      </x:c>
      <x:c r="G25" s="15" t="str">
        <x:v>从状态变化、可理解性和实施交接的角度阅读。</x:v>
      </x:c>
    </x:row>
    <x:row r="26" ht="42" customHeight="1">
      <x:c r="A26" s="9" t="str">
        <x:v>b_19</x:v>
      </x:c>
      <x:c r="B26" s="9" t="str">
        <x:v>DOUBAO-05</x:v>
      </x:c>
      <x:c r="C26" s="9" t="str">
        <x:v>doubao-seed-2-1-pro-260915</x:v>
      </x:c>
      <x:c r="D26" s="9" t="str">
        <x:v>需求分析</x:v>
      </x:c>
      <x:c r="E26" s="12" t="n">
        <x:f>COUNTIFS('用例分配'!$E$8:$E$100,B26)+COUNTIFS('用例分配'!$F$8:$F$100,B26)+COUNTIFS('用例分配'!$G$8:$G$100,B26)</x:f>
        <x:v>7</x:v>
      </x:c>
      <x:c r="F26" s="14" t="str">
        <x:v>UC_8, UC_38, UC_80, UC_28, UC_60, UC_30, UC_23</x:v>
      </x:c>
      <x:c r="G26" s="14" t="str">
        <x:v>从任务范围、参与者目标与需求表达的角度阅读。</x:v>
      </x:c>
    </x:row>
    <x:row r="27" ht="42" customHeight="1">
      <x:c r="A27" s="2" t="str">
        <x:v>b_20</x:v>
      </x:c>
      <x:c r="B27" s="2" t="str">
        <x:v>DOUBAO-06</x:v>
      </x:c>
      <x:c r="C27" s="2" t="str">
        <x:v>doubao-seed-2-1-pro-260915</x:v>
      </x:c>
      <x:c r="D27" s="2" t="str">
        <x:v>软件架构</x:v>
      </x:c>
      <x:c r="E27" s="13" t="n">
        <x:f>COUNTIFS('用例分配'!$E$8:$E$100,B27)+COUNTIFS('用例分配'!$F$8:$F$100,B27)+COUNTIFS('用例分配'!$G$8:$G$100,B27)</x:f>
        <x:v>7</x:v>
      </x:c>
      <x:c r="F27" s="15" t="str">
        <x:v>UC_5, UC_10, UC_85, UC_84, UC_67, UC_59, UC_91</x:v>
      </x:c>
      <x:c r="G27" s="15" t="str">
        <x:v>从接口边界、系统行为及后续设计的角度阅读。</x:v>
      </x:c>
    </x:row>
    <x:row r="28" ht="42" customHeight="1">
      <x:c r="A28" s="9" t="str">
        <x:v>b_21</x:v>
      </x:c>
      <x:c r="B28" s="9" t="str">
        <x:v>DOUBAO-07</x:v>
      </x:c>
      <x:c r="C28" s="9" t="str">
        <x:v>doubao-seed-2-1-pro-260915</x:v>
      </x:c>
      <x:c r="D28" s="9" t="str">
        <x:v>测试与质量</x:v>
      </x:c>
      <x:c r="E28" s="12" t="n">
        <x:f>COUNTIFS('用例分配'!$E$8:$E$100,B28)+COUNTIFS('用例分配'!$F$8:$F$100,B28)+COUNTIFS('用例分配'!$G$8:$G$100,B28)</x:f>
        <x:v>7</x:v>
      </x:c>
      <x:c r="F28" s="14" t="str">
        <x:v>UC_58, UC_22, UC_77, UC_52, UC_36, UC_79, UC_29</x:v>
      </x:c>
      <x:c r="G28" s="14" t="str">
        <x:v>从前提、触发、分支、异常和可验证性的角度阅读。</x:v>
      </x:c>
    </x:row>
    <x:row r="29" ht="42" customHeight="1">
      <x:c r="A29" s="2" t="str">
        <x:v>b_22</x:v>
      </x:c>
      <x:c r="B29" s="2" t="str">
        <x:v>DOUBAO-08</x:v>
      </x:c>
      <x:c r="C29" s="2" t="str">
        <x:v>doubao-seed-2-1-pro-260915</x:v>
      </x:c>
      <x:c r="D29" s="2" t="str">
        <x:v>维护与交付</x:v>
      </x:c>
      <x:c r="E29" s="13" t="n">
        <x:f>COUNTIFS('用例分配'!$E$8:$E$100,B29)+COUNTIFS('用例分配'!$F$8:$F$100,B29)+COUNTIFS('用例分配'!$G$8:$G$100,B29)</x:f>
        <x:v>7</x:v>
      </x:c>
      <x:c r="F29" s="15" t="str">
        <x:v>UC_15, UC_57, UC_66, UC_45, UC_76, UC_89, UC_44</x:v>
      </x:c>
      <x:c r="G29" s="15" t="str">
        <x:v>从状态变化、可理解性和实施交接的角度阅读。</x:v>
      </x:c>
    </x:row>
    <x:row r="30" ht="42" customHeight="1">
      <x:c r="A30" s="9" t="str">
        <x:v>b_23</x:v>
      </x:c>
      <x:c r="B30" s="9" t="str">
        <x:v>DOUBAO-09</x:v>
      </x:c>
      <x:c r="C30" s="9" t="str">
        <x:v>doubao-seed-2-1-pro-260915</x:v>
      </x:c>
      <x:c r="D30" s="9" t="str">
        <x:v>需求分析</x:v>
      </x:c>
      <x:c r="E30" s="12" t="n">
        <x:f>COUNTIFS('用例分配'!$E$8:$E$100,B30)+COUNTIFS('用例分配'!$F$8:$F$100,B30)+COUNTIFS('用例分配'!$G$8:$G$100,B30)</x:f>
        <x:v>7</x:v>
      </x:c>
      <x:c r="F30" s="14" t="str">
        <x:v>UC_4, UC_11, UC_27, UC_48, UC_64, UC_32, UC_83</x:v>
      </x:c>
      <x:c r="G30" s="14" t="str">
        <x:v>从任务范围、参与者目标与需求表达的角度阅读。</x:v>
      </x:c>
    </x:row>
    <x:row r="31" ht="42" customHeight="1">
      <x:c r="A31" s="2" t="str">
        <x:v>b_24</x:v>
      </x:c>
      <x:c r="B31" s="2" t="str">
        <x:v>DOUBAO-10</x:v>
      </x:c>
      <x:c r="C31" s="2" t="str">
        <x:v>doubao-seed-2-1-pro-260915</x:v>
      </x:c>
      <x:c r="D31" s="2" t="str">
        <x:v>软件架构</x:v>
      </x:c>
      <x:c r="E31" s="13" t="n">
        <x:f>COUNTIFS('用例分配'!$E$8:$E$100,B31)+COUNTIFS('用例分配'!$F$8:$F$100,B31)+COUNTIFS('用例分配'!$G$8:$G$100,B31)</x:f>
        <x:v>6</x:v>
      </x:c>
      <x:c r="F31" s="15" t="str">
        <x:v>UC_25, UC_92, UC_72, UC_34, UC_47, UC_41</x:v>
      </x:c>
      <x:c r="G31" s="15" t="str">
        <x:v>从接口边界、系统行为及后续设计的角度阅读。</x:v>
      </x:c>
    </x:row>
    <x:row r="32" ht="42" customHeight="1">
      <x:c r="A32" s="9" t="str">
        <x:v>b_25</x:v>
      </x:c>
      <x:c r="B32" s="9" t="str">
        <x:v>DOUBAO-11</x:v>
      </x:c>
      <x:c r="C32" s="9" t="str">
        <x:v>doubao-seed-2-1-pro-260915</x:v>
      </x:c>
      <x:c r="D32" s="9" t="str">
        <x:v>测试与质量</x:v>
      </x:c>
      <x:c r="E32" s="12" t="n">
        <x:f>COUNTIFS('用例分配'!$E$8:$E$100,B32)+COUNTIFS('用例分配'!$F$8:$F$100,B32)+COUNTIFS('用例分配'!$G$8:$G$100,B32)</x:f>
        <x:v>6</x:v>
      </x:c>
      <x:c r="F32" s="14" t="str">
        <x:v>UC_3, UC_12, UC_75, UC_69, UC_53, UC_62</x:v>
      </x:c>
      <x:c r="G32" s="14" t="str">
        <x:v>从前提、触发、分支、异常和可验证性的角度阅读。</x:v>
      </x:c>
    </x:row>
    <x:row r="33" ht="42" customHeight="1">
      <x:c r="A33" s="2" t="str">
        <x:v>b_26</x:v>
      </x:c>
      <x:c r="B33" s="2" t="str">
        <x:v>DOUBAO-12</x:v>
      </x:c>
      <x:c r="C33" s="2" t="str">
        <x:v>doubao-seed-2-1-pro-260915</x:v>
      </x:c>
      <x:c r="D33" s="2" t="str">
        <x:v>维护与交付</x:v>
      </x:c>
      <x:c r="E33" s="13" t="n">
        <x:f>COUNTIFS('用例分配'!$E$8:$E$100,B33)+COUNTIFS('用例分配'!$F$8:$F$100,B33)+COUNTIFS('用例分配'!$G$8:$G$100,B33)</x:f>
        <x:v>6</x:v>
      </x:c>
      <x:c r="F33" s="15" t="str">
        <x:v>UC_65, UC_73, UC_56, UC_42, UC_51, UC_93</x:v>
      </x:c>
      <x:c r="G33" s="15" t="str">
        <x:v>从状态变化、可理解性和实施交接的角度阅读。</x:v>
      </x:c>
    </x:row>
    <x:row r="34" ht="42" customHeight="1">
      <x:c r="A34" s="9" t="str">
        <x:v>b_27</x:v>
      </x:c>
      <x:c r="B34" s="9" t="str">
        <x:v>DOUBAO-13</x:v>
      </x:c>
      <x:c r="C34" s="9" t="str">
        <x:v>doubao-seed-2-1-pro-260915</x:v>
      </x:c>
      <x:c r="D34" s="9" t="str">
        <x:v>需求分析</x:v>
      </x:c>
      <x:c r="E34" s="12" t="n">
        <x:f>COUNTIFS('用例分配'!$E$8:$E$100,B34)+COUNTIFS('用例分配'!$F$8:$F$100,B34)+COUNTIFS('用例分配'!$G$8:$G$100,B34)</x:f>
        <x:v>6</x:v>
      </x:c>
      <x:c r="F34" s="14" t="str">
        <x:v>UC_74, UC_46, UC_26, UC_20, UC_43, UC_50</x:v>
      </x:c>
      <x:c r="G34" s="14" t="str">
        <x:v>从任务范围、参与者目标与需求表达的角度阅读。</x:v>
      </x:c>
    </x:row>
    <x:row r="35" ht="42" customHeight="1">
      <x:c r="A35" s="2" t="str">
        <x:v>b_28</x:v>
      </x:c>
      <x:c r="B35" s="2" t="str">
        <x:v>DOUBAO-14</x:v>
      </x:c>
      <x:c r="C35" s="2" t="str">
        <x:v>doubao-seed-2-1-pro-260915</x:v>
      </x:c>
      <x:c r="D35" s="2" t="str">
        <x:v>软件架构</x:v>
      </x:c>
      <x:c r="E35" s="13" t="n">
        <x:f>COUNTIFS('用例分配'!$E$8:$E$100,B35)+COUNTIFS('用例分配'!$F$8:$F$100,B35)+COUNTIFS('用例分配'!$G$8:$G$100,B35)</x:f>
        <x:v>6</x:v>
      </x:c>
      <x:c r="F35" s="15" t="str">
        <x:v>UC_90, UC_49, UC_40, UC_33, UC_82, UC_21</x:v>
      </x:c>
      <x:c r="G35" s="15" t="str">
        <x:v>从接口边界、系统行为及后续设计的角度阅读。</x:v>
      </x:c>
    </x:row>
    <x:row r="36" ht="42" customHeight="1">
      <x:c r="A36" s="9" t="str">
        <x:v>b_29</x:v>
      </x:c>
      <x:c r="B36" s="9" t="str">
        <x:v>QWEN-01</x:v>
      </x:c>
      <x:c r="C36" s="9" t="str">
        <x:v>qwen3.8-max-0902</x:v>
      </x:c>
      <x:c r="D36" s="9" t="str">
        <x:v>需求分析</x:v>
      </x:c>
      <x:c r="E36" s="12" t="n">
        <x:f>COUNTIFS('用例分配'!$E$8:$E$100,B36)+COUNTIFS('用例分配'!$F$8:$F$100,B36)+COUNTIFS('用例分配'!$G$8:$G$100,B36)</x:f>
        <x:v>7</x:v>
      </x:c>
      <x:c r="F36" s="14" t="str">
        <x:v>UC_39, UC_17, UC_38, UC_69, UC_56, UC_26, UC_83</x:v>
      </x:c>
      <x:c r="G36" s="14" t="str">
        <x:v>从任务范围、参与者目标与需求表达的角度阅读。</x:v>
      </x:c>
    </x:row>
    <x:row r="37" ht="42" customHeight="1">
      <x:c r="A37" s="2" t="str">
        <x:v>b_30</x:v>
      </x:c>
      <x:c r="B37" s="2" t="str">
        <x:v>QWEN-02</x:v>
      </x:c>
      <x:c r="C37" s="2" t="str">
        <x:v>qwen3.8-max-0902</x:v>
      </x:c>
      <x:c r="D37" s="2" t="str">
        <x:v>软件架构</x:v>
      </x:c>
      <x:c r="E37" s="13" t="n">
        <x:f>COUNTIFS('用例分配'!$E$8:$E$100,B37)+COUNTIFS('用例分配'!$F$8:$F$100,B37)+COUNTIFS('用例分配'!$G$8:$G$100,B37)</x:f>
        <x:v>7</x:v>
      </x:c>
      <x:c r="F37" s="15" t="str">
        <x:v>UC_5, UC_12, UC_64, UC_59, UC_76, UC_47, UC_87</x:v>
      </x:c>
      <x:c r="G37" s="15" t="str">
        <x:v>从接口边界、系统行为及后续设计的角度阅读。</x:v>
      </x:c>
    </x:row>
    <x:row r="38" ht="42" customHeight="1">
      <x:c r="A38" s="9" t="str">
        <x:v>b_31</x:v>
      </x:c>
      <x:c r="B38" s="9" t="str">
        <x:v>QWEN-03</x:v>
      </x:c>
      <x:c r="C38" s="9" t="str">
        <x:v>qwen3.8-max-0902</x:v>
      </x:c>
      <x:c r="D38" s="9" t="str">
        <x:v>测试与质量</x:v>
      </x:c>
      <x:c r="E38" s="12" t="n">
        <x:f>COUNTIFS('用例分配'!$E$8:$E$100,B38)+COUNTIFS('用例分配'!$F$8:$F$100,B38)+COUNTIFS('用例分配'!$G$8:$G$100,B38)</x:f>
        <x:v>7</x:v>
      </x:c>
      <x:c r="F38" s="14" t="str">
        <x:v>UC_2, UC_7, UC_78, UC_18, UC_37, UC_62, UC_32</x:v>
      </x:c>
      <x:c r="G38" s="14" t="str">
        <x:v>从前提、触发、分支、异常和可验证性的角度阅读。</x:v>
      </x:c>
    </x:row>
    <x:row r="39" ht="42" customHeight="1">
      <x:c r="A39" s="2" t="str">
        <x:v>b_32</x:v>
      </x:c>
      <x:c r="B39" s="2" t="str">
        <x:v>QWEN-04</x:v>
      </x:c>
      <x:c r="C39" s="2" t="str">
        <x:v>qwen3.8-max-0902</x:v>
      </x:c>
      <x:c r="D39" s="2" t="str">
        <x:v>维护与交付</x:v>
      </x:c>
      <x:c r="E39" s="13" t="n">
        <x:f>COUNTIFS('用例分配'!$E$8:$E$100,B39)+COUNTIFS('用例分配'!$F$8:$F$100,B39)+COUNTIFS('用例分配'!$G$8:$G$100,B39)</x:f>
        <x:v>7</x:v>
      </x:c>
      <x:c r="F39" s="15" t="str">
        <x:v>UC_3, UC_80, UC_49, UC_42, UC_24, UC_89, UC_63</x:v>
      </x:c>
      <x:c r="G39" s="15" t="str">
        <x:v>从状态变化、可理解性和实施交接的角度阅读。</x:v>
      </x:c>
    </x:row>
    <x:row r="40" ht="42" customHeight="1">
      <x:c r="A40" s="9" t="str">
        <x:v>b_33</x:v>
      </x:c>
      <x:c r="B40" s="9" t="str">
        <x:v>QWEN-05</x:v>
      </x:c>
      <x:c r="C40" s="9" t="str">
        <x:v>qwen3.8-max-0902</x:v>
      </x:c>
      <x:c r="D40" s="9" t="str">
        <x:v>需求分析</x:v>
      </x:c>
      <x:c r="E40" s="12" t="n">
        <x:f>COUNTIFS('用例分配'!$E$8:$E$100,B40)+COUNTIFS('用例分配'!$F$8:$F$100,B40)+COUNTIFS('用例分配'!$G$8:$G$100,B40)</x:f>
        <x:v>7</x:v>
      </x:c>
      <x:c r="F40" s="14" t="str">
        <x:v>UC_68, UC_74, UC_28, UC_61, UC_52, UC_45, UC_21</x:v>
      </x:c>
      <x:c r="G40" s="14" t="str">
        <x:v>从任务范围、参与者目标与需求表达的角度阅读。</x:v>
      </x:c>
    </x:row>
    <x:row r="41" ht="42" customHeight="1">
      <x:c r="A41" s="2" t="str">
        <x:v>b_34</x:v>
      </x:c>
      <x:c r="B41" s="2" t="str">
        <x:v>QWEN-06</x:v>
      </x:c>
      <x:c r="C41" s="2" t="str">
        <x:v>qwen3.8-max-0902</x:v>
      </x:c>
      <x:c r="D41" s="2" t="str">
        <x:v>软件架构</x:v>
      </x:c>
      <x:c r="E41" s="13" t="n">
        <x:f>COUNTIFS('用例分配'!$E$8:$E$100,B41)+COUNTIFS('用例分配'!$F$8:$F$100,B41)+COUNTIFS('用例分配'!$G$8:$G$100,B41)</x:f>
        <x:v>7</x:v>
      </x:c>
      <x:c r="F41" s="15" t="str">
        <x:v>UC_4, UC_90, UC_27, UC_35, UC_58, UC_54, UC_20</x:v>
      </x:c>
      <x:c r="G41" s="15" t="str">
        <x:v>从接口边界、系统行为及后续设计的角度阅读。</x:v>
      </x:c>
    </x:row>
    <x:row r="42" ht="42" customHeight="1">
      <x:c r="A42" s="9" t="str">
        <x:v>b_35</x:v>
      </x:c>
      <x:c r="B42" s="9" t="str">
        <x:v>QWEN-07</x:v>
      </x:c>
      <x:c r="C42" s="9" t="str">
        <x:v>qwen3.8-max-0902</x:v>
      </x:c>
      <x:c r="D42" s="9" t="str">
        <x:v>测试与质量</x:v>
      </x:c>
      <x:c r="E42" s="12" t="n">
        <x:f>COUNTIFS('用例分配'!$E$8:$E$100,B42)+COUNTIFS('用例分配'!$F$8:$F$100,B42)+COUNTIFS('用例分配'!$G$8:$G$100,B42)</x:f>
        <x:v>7</x:v>
      </x:c>
      <x:c r="F42" s="14" t="str">
        <x:v>UC_10, UC_16, UC_73, UC_70, UC_92, UC_33, UC_50</x:v>
      </x:c>
      <x:c r="G42" s="14" t="str">
        <x:v>从前提、触发、分支、异常和可验证性的角度阅读。</x:v>
      </x:c>
    </x:row>
    <x:row r="43" ht="42" customHeight="1">
      <x:c r="A43" s="2" t="str">
        <x:v>b_36</x:v>
      </x:c>
      <x:c r="B43" s="2" t="str">
        <x:v>QWEN-08</x:v>
      </x:c>
      <x:c r="C43" s="2" t="str">
        <x:v>qwen3.8-max-0902</x:v>
      </x:c>
      <x:c r="D43" s="2" t="str">
        <x:v>维护与交付</x:v>
      </x:c>
      <x:c r="E43" s="13" t="n">
        <x:f>COUNTIFS('用例分配'!$E$8:$E$100,B43)+COUNTIFS('用例分配'!$F$8:$F$100,B43)+COUNTIFS('用例分配'!$G$8:$G$100,B43)</x:f>
        <x:v>7</x:v>
      </x:c>
      <x:c r="F43" s="15" t="str">
        <x:v>UC_1, UC_13, UC_71, UC_60, UC_36, UC_81, UC_29</x:v>
      </x:c>
      <x:c r="G43" s="15" t="str">
        <x:v>从状态变化、可理解性和实施交接的角度阅读。</x:v>
      </x:c>
    </x:row>
    <x:row r="44" ht="42" customHeight="1">
      <x:c r="A44" s="9" t="str">
        <x:v>b_37</x:v>
      </x:c>
      <x:c r="B44" s="9" t="str">
        <x:v>QWEN-09</x:v>
      </x:c>
      <x:c r="C44" s="9" t="str">
        <x:v>qwen3.8-max-0902</x:v>
      </x:c>
      <x:c r="D44" s="9" t="str">
        <x:v>需求分析</x:v>
      </x:c>
      <x:c r="E44" s="12" t="n">
        <x:f>COUNTIFS('用例分配'!$E$8:$E$100,B44)+COUNTIFS('用例分配'!$F$8:$F$100,B44)+COUNTIFS('用例分配'!$G$8:$G$100,B44)</x:f>
        <x:v>7</x:v>
      </x:c>
      <x:c r="F44" s="14" t="str">
        <x:v>UC_11, UC_15, UC_84, UC_51, UC_66, UC_93, UC_44</x:v>
      </x:c>
      <x:c r="G44" s="14" t="str">
        <x:v>从任务范围、参与者目标与需求表达的角度阅读。</x:v>
      </x:c>
    </x:row>
    <x:row r="45" ht="42" customHeight="1">
      <x:c r="A45" s="2" t="str">
        <x:v>b_38</x:v>
      </x:c>
      <x:c r="B45" s="2" t="str">
        <x:v>QWEN-10</x:v>
      </x:c>
      <x:c r="C45" s="2" t="str">
        <x:v>qwen3.8-max-0902</x:v>
      </x:c>
      <x:c r="D45" s="2" t="str">
        <x:v>软件架构</x:v>
      </x:c>
      <x:c r="E45" s="13" t="n">
        <x:f>COUNTIFS('用例分配'!$E$8:$E$100,B45)+COUNTIFS('用例分配'!$F$8:$F$100,B45)+COUNTIFS('用例分配'!$G$8:$G$100,B45)</x:f>
        <x:v>6</x:v>
      </x:c>
      <x:c r="F45" s="15" t="str">
        <x:v>UC_9, UC_25, UC_31, UC_22, UC_34, UC_41</x:v>
      </x:c>
      <x:c r="G45" s="15" t="str">
        <x:v>从接口边界、系统行为及后续设计的角度阅读。</x:v>
      </x:c>
    </x:row>
    <x:row r="46" ht="42" customHeight="1">
      <x:c r="A46" s="9" t="str">
        <x:v>b_39</x:v>
      </x:c>
      <x:c r="B46" s="9" t="str">
        <x:v>QWEN-11</x:v>
      </x:c>
      <x:c r="C46" s="9" t="str">
        <x:v>qwen3.8-max-0902</x:v>
      </x:c>
      <x:c r="D46" s="9" t="str">
        <x:v>测试与质量</x:v>
      </x:c>
      <x:c r="E46" s="12" t="n">
        <x:f>COUNTIFS('用例分配'!$E$8:$E$100,B46)+COUNTIFS('用例分配'!$F$8:$F$100,B46)+COUNTIFS('用例分配'!$G$8:$G$100,B46)</x:f>
        <x:v>6</x:v>
      </x:c>
      <x:c r="F46" s="14" t="str">
        <x:v>UC_8, UC_65, UC_53, UC_40, UC_77, UC_88</x:v>
      </x:c>
      <x:c r="G46" s="14" t="str">
        <x:v>从前提、触发、分支、异常和可验证性的角度阅读。</x:v>
      </x:c>
    </x:row>
    <x:row r="47" ht="42" customHeight="1">
      <x:c r="A47" s="2" t="str">
        <x:v>b_40</x:v>
      </x:c>
      <x:c r="B47" s="2" t="str">
        <x:v>QWEN-12</x:v>
      </x:c>
      <x:c r="C47" s="2" t="str">
        <x:v>qwen3.8-max-0902</x:v>
      </x:c>
      <x:c r="D47" s="2" t="str">
        <x:v>维护与交付</x:v>
      </x:c>
      <x:c r="E47" s="13" t="n">
        <x:f>COUNTIFS('用例分配'!$E$8:$E$100,B47)+COUNTIFS('用例分配'!$F$8:$F$100,B47)+COUNTIFS('用例分配'!$G$8:$G$100,B47)</x:f>
        <x:v>6</x:v>
      </x:c>
      <x:c r="F47" s="15" t="str">
        <x:v>UC_14, UC_19, UC_48, UC_82, UC_30, UC_46</x:v>
      </x:c>
      <x:c r="G47" s="15" t="str">
        <x:v>从状态变化、可理解性和实施交接的角度阅读。</x:v>
      </x:c>
    </x:row>
    <x:row r="48" ht="42" customHeight="1">
      <x:c r="A48" s="9" t="str">
        <x:v>b_41</x:v>
      </x:c>
      <x:c r="B48" s="9" t="str">
        <x:v>QWEN-13</x:v>
      </x:c>
      <x:c r="C48" s="9" t="str">
        <x:v>qwen3.8-max-0902</x:v>
      </x:c>
      <x:c r="D48" s="9" t="str">
        <x:v>需求分析</x:v>
      </x:c>
      <x:c r="E48" s="12" t="n">
        <x:f>COUNTIFS('用例分配'!$E$8:$E$100,B48)+COUNTIFS('用例分配'!$F$8:$F$100,B48)+COUNTIFS('用例分配'!$G$8:$G$100,B48)</x:f>
        <x:v>6</x:v>
      </x:c>
      <x:c r="F48" s="14" t="str">
        <x:v>UC_85, UC_72, UC_91, UC_55, UC_43, UC_79</x:v>
      </x:c>
      <x:c r="G48" s="14" t="str">
        <x:v>从任务范围、参与者目标与需求表达的角度阅读。</x:v>
      </x:c>
    </x:row>
    <x:row r="49" ht="42" customHeight="1">
      <x:c r="A49" s="2" t="str">
        <x:v>b_42</x:v>
      </x:c>
      <x:c r="B49" s="2" t="str">
        <x:v>QWEN-14</x:v>
      </x:c>
      <x:c r="C49" s="2" t="str">
        <x:v>qwen3.8-max-0902</x:v>
      </x:c>
      <x:c r="D49" s="2" t="str">
        <x:v>软件架构</x:v>
      </x:c>
      <x:c r="E49" s="13" t="n">
        <x:f>COUNTIFS('用例分配'!$E$8:$E$100,B49)+COUNTIFS('用例分配'!$F$8:$F$100,B49)+COUNTIFS('用例分配'!$G$8:$G$100,B49)</x:f>
        <x:v>6</x:v>
      </x:c>
      <x:c r="F49" s="15" t="str">
        <x:v>UC_6, UC_86, UC_75, UC_67, UC_57, UC_23</x:v>
      </x:c>
      <x:c r="G49" s="15" t="str">
        <x:v>从接口边界、系统行为及后续设计的角度阅读。</x:v>
      </x:c>
    </x:row>
  </x:sheetData>
  <x:conditionalFormatting sqref="E8:E49">
    <x:cfRule type="cellIs" dxfId="1" priority="1" operator="notBetween">
      <x:formula>6</x:formula>
      <x:formula>7</x:formula>
    </x:cfRule>
  </x:conditionalFormatting>
  <x:pageMargins left="0.7" right="0.7" top="0.75" bottom="0.75" header="0.3" footer="0.3"/>
</x:worksheet>
</file>